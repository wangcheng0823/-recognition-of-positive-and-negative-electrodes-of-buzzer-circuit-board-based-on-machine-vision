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o X21A\我的研究生\科研项目\OpenCV蜂鸣器正负极识别\小论文\我的论文\投稿版\PLOS One\修改提交\图表数据\"/>
    </mc:Choice>
  </mc:AlternateContent>
  <xr:revisionPtr revIDLastSave="0" documentId="13_ncr:1_{F613C994-5764-4ABB-965E-FCDFD0CE155B}" xr6:coauthVersionLast="47" xr6:coauthVersionMax="47" xr10:uidLastSave="{00000000-0000-0000-0000-000000000000}"/>
  <bookViews>
    <workbookView xWindow="-108" yWindow="-108" windowWidth="23256" windowHeight="12576" xr2:uid="{13172C2B-31D3-4827-BB93-368C8B6CC2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A3" i="1"/>
  <c r="AC3" i="1" s="1"/>
  <c r="AA4" i="1"/>
  <c r="AC4" i="1" s="1"/>
  <c r="AA5" i="1"/>
  <c r="AC5" i="1" s="1"/>
  <c r="AA6" i="1"/>
  <c r="AC6" i="1" s="1"/>
  <c r="AA7" i="1"/>
  <c r="AC7" i="1" s="1"/>
  <c r="AA8" i="1"/>
  <c r="AC8" i="1" s="1"/>
  <c r="AA9" i="1"/>
  <c r="AC9" i="1" s="1"/>
  <c r="AA10" i="1"/>
  <c r="AC10" i="1" s="1"/>
  <c r="AA11" i="1"/>
  <c r="AC11" i="1" s="1"/>
  <c r="AA12" i="1"/>
  <c r="AC12" i="1" s="1"/>
  <c r="AA13" i="1"/>
  <c r="AC13" i="1" s="1"/>
  <c r="AA14" i="1"/>
  <c r="AC14" i="1" s="1"/>
  <c r="AA15" i="1"/>
  <c r="AC15" i="1" s="1"/>
  <c r="AA16" i="1"/>
  <c r="AC16" i="1" s="1"/>
  <c r="AA17" i="1"/>
  <c r="AC17" i="1" s="1"/>
  <c r="AA18" i="1"/>
  <c r="AC18" i="1" s="1"/>
  <c r="AA19" i="1"/>
  <c r="AC19" i="1" s="1"/>
  <c r="AA20" i="1"/>
  <c r="AC20" i="1" s="1"/>
  <c r="AA21" i="1"/>
  <c r="AC21" i="1" s="1"/>
  <c r="AA22" i="1"/>
  <c r="AC22" i="1" s="1"/>
  <c r="AA23" i="1"/>
  <c r="AC23" i="1" s="1"/>
  <c r="AA24" i="1"/>
  <c r="AC24" i="1" s="1"/>
  <c r="AA25" i="1"/>
  <c r="AC25" i="1" s="1"/>
  <c r="AA26" i="1"/>
  <c r="AC26" i="1" s="1"/>
  <c r="AA27" i="1"/>
  <c r="AC27" i="1" s="1"/>
  <c r="AA28" i="1"/>
  <c r="AC28" i="1" s="1"/>
  <c r="AA29" i="1"/>
  <c r="AC29" i="1" s="1"/>
  <c r="AA30" i="1"/>
  <c r="AC30" i="1" s="1"/>
  <c r="AA31" i="1"/>
  <c r="AC31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AB2" i="1"/>
  <c r="Z2" i="1"/>
  <c r="AA2" i="1"/>
  <c r="AC2" i="1" s="1"/>
  <c r="Y2" i="1"/>
  <c r="X8" i="1"/>
  <c r="X16" i="1"/>
  <c r="X2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V3" i="1"/>
  <c r="X3" i="1" s="1"/>
  <c r="V4" i="1"/>
  <c r="X4" i="1" s="1"/>
  <c r="V5" i="1"/>
  <c r="X5" i="1" s="1"/>
  <c r="V6" i="1"/>
  <c r="X6" i="1" s="1"/>
  <c r="V7" i="1"/>
  <c r="X7" i="1" s="1"/>
  <c r="V8" i="1"/>
  <c r="V9" i="1"/>
  <c r="X9" i="1" s="1"/>
  <c r="V10" i="1"/>
  <c r="X10" i="1" s="1"/>
  <c r="V11" i="1"/>
  <c r="X11" i="1" s="1"/>
  <c r="V12" i="1"/>
  <c r="X12" i="1" s="1"/>
  <c r="V13" i="1"/>
  <c r="X13" i="1" s="1"/>
  <c r="V14" i="1"/>
  <c r="X14" i="1" s="1"/>
  <c r="V15" i="1"/>
  <c r="X15" i="1" s="1"/>
  <c r="V16" i="1"/>
  <c r="V17" i="1"/>
  <c r="X17" i="1" s="1"/>
  <c r="V18" i="1"/>
  <c r="X18" i="1" s="1"/>
  <c r="V19" i="1"/>
  <c r="X19" i="1" s="1"/>
  <c r="V20" i="1"/>
  <c r="X20" i="1" s="1"/>
  <c r="V21" i="1"/>
  <c r="X21" i="1" s="1"/>
  <c r="V22" i="1"/>
  <c r="X22" i="1" s="1"/>
  <c r="V23" i="1"/>
  <c r="X23" i="1" s="1"/>
  <c r="V24" i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31" i="1"/>
  <c r="X31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W2" i="1"/>
  <c r="V2" i="1"/>
  <c r="U2" i="1"/>
  <c r="T2" i="1"/>
  <c r="X2" i="1" s="1"/>
  <c r="S10" i="1"/>
  <c r="S18" i="1"/>
  <c r="S2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Q3" i="1"/>
  <c r="Q4" i="1"/>
  <c r="S4" i="1" s="1"/>
  <c r="Q5" i="1"/>
  <c r="S5" i="1" s="1"/>
  <c r="Q6" i="1"/>
  <c r="S6" i="1" s="1"/>
  <c r="Q7" i="1"/>
  <c r="S7" i="1" s="1"/>
  <c r="Q8" i="1"/>
  <c r="S8" i="1" s="1"/>
  <c r="Q9" i="1"/>
  <c r="S9" i="1" s="1"/>
  <c r="Q10" i="1"/>
  <c r="Q11" i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Q19" i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Q27" i="1"/>
  <c r="Q28" i="1"/>
  <c r="S28" i="1" s="1"/>
  <c r="Q29" i="1"/>
  <c r="S29" i="1" s="1"/>
  <c r="Q30" i="1"/>
  <c r="S30" i="1" s="1"/>
  <c r="Q31" i="1"/>
  <c r="S31" i="1" s="1"/>
  <c r="P3" i="1"/>
  <c r="S3" i="1" s="1"/>
  <c r="P4" i="1"/>
  <c r="P5" i="1"/>
  <c r="P6" i="1"/>
  <c r="P7" i="1"/>
  <c r="P8" i="1"/>
  <c r="P9" i="1"/>
  <c r="P10" i="1"/>
  <c r="P11" i="1"/>
  <c r="S11" i="1" s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S19" i="1" s="1"/>
  <c r="O20" i="1"/>
  <c r="O21" i="1"/>
  <c r="O22" i="1"/>
  <c r="O23" i="1"/>
  <c r="O24" i="1"/>
  <c r="O25" i="1"/>
  <c r="O26" i="1"/>
  <c r="O27" i="1"/>
  <c r="S27" i="1" s="1"/>
  <c r="O28" i="1"/>
  <c r="O29" i="1"/>
  <c r="O30" i="1"/>
  <c r="O31" i="1"/>
  <c r="R2" i="1"/>
  <c r="Q2" i="1"/>
  <c r="P2" i="1"/>
  <c r="O2" i="1"/>
  <c r="S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L3" i="1"/>
  <c r="L4" i="1"/>
  <c r="L5" i="1"/>
  <c r="N5" i="1" s="1"/>
  <c r="L6" i="1"/>
  <c r="L7" i="1"/>
  <c r="L8" i="1"/>
  <c r="N8" i="1" s="1"/>
  <c r="L9" i="1"/>
  <c r="N9" i="1" s="1"/>
  <c r="L10" i="1"/>
  <c r="L11" i="1"/>
  <c r="L12" i="1"/>
  <c r="L13" i="1"/>
  <c r="L14" i="1"/>
  <c r="N14" i="1" s="1"/>
  <c r="L15" i="1"/>
  <c r="L16" i="1"/>
  <c r="N16" i="1" s="1"/>
  <c r="L17" i="1"/>
  <c r="N17" i="1" s="1"/>
  <c r="L18" i="1"/>
  <c r="L19" i="1"/>
  <c r="L20" i="1"/>
  <c r="L21" i="1"/>
  <c r="N21" i="1" s="1"/>
  <c r="L22" i="1"/>
  <c r="L23" i="1"/>
  <c r="L24" i="1"/>
  <c r="N24" i="1" s="1"/>
  <c r="L25" i="1"/>
  <c r="N25" i="1" s="1"/>
  <c r="L26" i="1"/>
  <c r="L27" i="1"/>
  <c r="L28" i="1"/>
  <c r="L29" i="1"/>
  <c r="N29" i="1" s="1"/>
  <c r="L30" i="1"/>
  <c r="N30" i="1" s="1"/>
  <c r="L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J3" i="1"/>
  <c r="J4" i="1"/>
  <c r="J5" i="1"/>
  <c r="J6" i="1"/>
  <c r="N6" i="1" s="1"/>
  <c r="J7" i="1"/>
  <c r="J8" i="1"/>
  <c r="J9" i="1"/>
  <c r="J10" i="1"/>
  <c r="J11" i="1"/>
  <c r="J12" i="1"/>
  <c r="J13" i="1"/>
  <c r="N13" i="1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M2" i="1"/>
  <c r="L2" i="1"/>
  <c r="N2" i="1" s="1"/>
  <c r="K2" i="1"/>
  <c r="J2" i="1"/>
  <c r="N28" i="1" l="1"/>
  <c r="N20" i="1"/>
  <c r="N12" i="1"/>
  <c r="N4" i="1"/>
  <c r="N27" i="1"/>
  <c r="N19" i="1"/>
  <c r="N11" i="1"/>
  <c r="N3" i="1"/>
  <c r="N26" i="1"/>
  <c r="N18" i="1"/>
  <c r="N10" i="1"/>
  <c r="N31" i="1"/>
  <c r="N23" i="1"/>
  <c r="N15" i="1"/>
  <c r="N7" i="1"/>
  <c r="N22" i="1"/>
</calcChain>
</file>

<file path=xl/sharedStrings.xml><?xml version="1.0" encoding="utf-8"?>
<sst xmlns="http://schemas.openxmlformats.org/spreadsheetml/2006/main" count="269" uniqueCount="269">
  <si>
    <t>(1561.14,1353.13)</t>
    <phoneticPr fontId="1" type="noConversion"/>
  </si>
  <si>
    <t>(1844.04,1204.87)</t>
    <phoneticPr fontId="1" type="noConversion"/>
  </si>
  <si>
    <t>(1949.41,1405.92)</t>
    <phoneticPr fontId="1" type="noConversion"/>
  </si>
  <si>
    <t>(1666.51,1554.19)</t>
    <phoneticPr fontId="1" type="noConversion"/>
  </si>
  <si>
    <t>(1200.26,1362.40</t>
    <phoneticPr fontId="1" type="noConversion"/>
  </si>
  <si>
    <t>(1335.22,1181.05)</t>
    <phoneticPr fontId="1" type="noConversion"/>
  </si>
  <si>
    <t>(1587.77,1368.99)</t>
    <phoneticPr fontId="1" type="noConversion"/>
  </si>
  <si>
    <t>(1452.81,1550.35)</t>
    <phoneticPr fontId="1" type="noConversion"/>
  </si>
  <si>
    <t>(1034.05,976.21)</t>
    <phoneticPr fontId="1" type="noConversion"/>
  </si>
  <si>
    <t>(1258.09,926.42)</t>
    <phoneticPr fontId="1" type="noConversion"/>
  </si>
  <si>
    <t>(1328.26,1242.16)</t>
    <phoneticPr fontId="1" type="noConversion"/>
  </si>
  <si>
    <t>(1104.21,1291.95)</t>
    <phoneticPr fontId="1" type="noConversion"/>
  </si>
  <si>
    <t>(1677.61,999.37)</t>
    <phoneticPr fontId="1" type="noConversion"/>
  </si>
  <si>
    <t>(1859.50,849.93)</t>
    <phoneticPr fontId="1" type="noConversion"/>
  </si>
  <si>
    <t>(2064.15,1099.00)</t>
    <phoneticPr fontId="1" type="noConversion"/>
  </si>
  <si>
    <t>(1882.26,1248.45)</t>
    <phoneticPr fontId="1" type="noConversion"/>
  </si>
  <si>
    <t>(1283.91,961.42)</t>
    <phoneticPr fontId="1" type="noConversion"/>
  </si>
  <si>
    <t>(1552.18,790.71)</t>
    <phoneticPr fontId="1" type="noConversion"/>
  </si>
  <si>
    <t>(1673.98,982.11)</t>
    <phoneticPr fontId="1" type="noConversion"/>
  </si>
  <si>
    <t>(1405.71,1152.82)</t>
    <phoneticPr fontId="1" type="noConversion"/>
  </si>
  <si>
    <t>(1570.79,607.30)</t>
    <phoneticPr fontId="1" type="noConversion"/>
  </si>
  <si>
    <t>(1790.84,528.82)</t>
    <phoneticPr fontId="1" type="noConversion"/>
  </si>
  <si>
    <t>(1899.31,832.94)</t>
    <phoneticPr fontId="1" type="noConversion"/>
  </si>
  <si>
    <t>(1679.25,911.42)</t>
    <phoneticPr fontId="1" type="noConversion"/>
  </si>
  <si>
    <t>(649.07,1801.63)</t>
    <phoneticPr fontId="1" type="noConversion"/>
  </si>
  <si>
    <t>(672.50,1471.66)</t>
    <phoneticPr fontId="1" type="noConversion"/>
  </si>
  <si>
    <t>(906.17,1488.25)</t>
    <phoneticPr fontId="1" type="noConversion"/>
  </si>
  <si>
    <t>(882.74,1818.22)</t>
    <phoneticPr fontId="1" type="noConversion"/>
  </si>
  <si>
    <t>(1125.57,1567.00)</t>
    <phoneticPr fontId="1" type="noConversion"/>
  </si>
  <si>
    <t>(1211.62,1339.58)</t>
    <phoneticPr fontId="1" type="noConversion"/>
  </si>
  <si>
    <t>(1534.90,1461.91)</t>
    <phoneticPr fontId="1" type="noConversion"/>
  </si>
  <si>
    <t>(1448.85,1689.32)</t>
    <phoneticPr fontId="1" type="noConversion"/>
  </si>
  <si>
    <t>(452.99,1281.18)</t>
    <phoneticPr fontId="1" type="noConversion"/>
  </si>
  <si>
    <t>(631.80,1005.67)</t>
    <phoneticPr fontId="1" type="noConversion"/>
  </si>
  <si>
    <t>(834.71,1137.36)</t>
    <phoneticPr fontId="1" type="noConversion"/>
  </si>
  <si>
    <t>(655.90,1412.87)</t>
    <phoneticPr fontId="1" type="noConversion"/>
  </si>
  <si>
    <t>(818.78,1182.04)</t>
    <phoneticPr fontId="1" type="noConversion"/>
  </si>
  <si>
    <t>(959.58,987.95)</t>
    <phoneticPr fontId="1" type="noConversion"/>
  </si>
  <si>
    <t>(1230.95,1184.83)</t>
    <phoneticPr fontId="1" type="noConversion"/>
  </si>
  <si>
    <t>(1090.14,1378.91)</t>
    <phoneticPr fontId="1" type="noConversion"/>
  </si>
  <si>
    <t>(1359.71,1067.50)</t>
    <phoneticPr fontId="1" type="noConversion"/>
  </si>
  <si>
    <t>(1424.60,730.90)</t>
    <phoneticPr fontId="1" type="noConversion"/>
  </si>
  <si>
    <t>(1668.92,778.00)</t>
    <phoneticPr fontId="1" type="noConversion"/>
  </si>
  <si>
    <t>(1604.03,1114.60)</t>
    <phoneticPr fontId="1" type="noConversion"/>
  </si>
  <si>
    <t>(862.82,744.62)</t>
    <phoneticPr fontId="1" type="noConversion"/>
  </si>
  <si>
    <t>(910.77,507.27)</t>
    <phoneticPr fontId="1" type="noConversion"/>
  </si>
  <si>
    <t>(1238.17,573.41)</t>
    <phoneticPr fontId="1" type="noConversion"/>
  </si>
  <si>
    <t>(1190.22,810.76)</t>
    <phoneticPr fontId="1" type="noConversion"/>
  </si>
  <si>
    <t>(1001.92,1686.14)</t>
    <phoneticPr fontId="1" type="noConversion"/>
  </si>
  <si>
    <t>(1313.64,1575.30)</t>
    <phoneticPr fontId="1" type="noConversion"/>
  </si>
  <si>
    <t>(1392.53,1797.19)</t>
    <phoneticPr fontId="1" type="noConversion"/>
  </si>
  <si>
    <t>(1080.81,1908.02)</t>
    <phoneticPr fontId="1" type="noConversion"/>
  </si>
  <si>
    <t>(1566.38,1588.94)</t>
    <phoneticPr fontId="1" type="noConversion"/>
  </si>
  <si>
    <t>(1882.00,1475.32)</t>
    <phoneticPr fontId="1" type="noConversion"/>
  </si>
  <si>
    <t>(1961.45,1696.04)</t>
    <phoneticPr fontId="1" type="noConversion"/>
  </si>
  <si>
    <t>(1645.84,1809.66)</t>
    <phoneticPr fontId="1" type="noConversion"/>
  </si>
  <si>
    <t>(1292.84,1398.56)</t>
    <phoneticPr fontId="1" type="noConversion"/>
  </si>
  <si>
    <t>(1435.21,1212.61)</t>
    <phoneticPr fontId="1" type="noConversion"/>
  </si>
  <si>
    <t>(1698.70,1414.35)</t>
    <phoneticPr fontId="1" type="noConversion"/>
  </si>
  <si>
    <t>(1556.33,1600.30)</t>
    <phoneticPr fontId="1" type="noConversion"/>
  </si>
  <si>
    <t>(502.09,1512.34)</t>
    <phoneticPr fontId="1" type="noConversion"/>
  </si>
  <si>
    <t>(663.86,1205.20)</t>
    <phoneticPr fontId="1" type="noConversion"/>
  </si>
  <si>
    <t>(873.95,1315.86)</t>
    <phoneticPr fontId="1" type="noConversion"/>
  </si>
  <si>
    <t>(712.17,1622.99)</t>
    <phoneticPr fontId="1" type="noConversion"/>
  </si>
  <si>
    <t>(868.74,1337.37)</t>
    <phoneticPr fontId="1" type="noConversion"/>
  </si>
  <si>
    <t>(998.04,1132.88)</t>
    <phoneticPr fontId="1" type="noConversion"/>
  </si>
  <si>
    <t>(1278.41,1310.15)</t>
    <phoneticPr fontId="1" type="noConversion"/>
  </si>
  <si>
    <t>(1149.12,1514.64)</t>
    <phoneticPr fontId="1" type="noConversion"/>
  </si>
  <si>
    <t>(1495.03,1136.45)</t>
    <phoneticPr fontId="1" type="noConversion"/>
  </si>
  <si>
    <t>(1666.35,847.59)</t>
    <phoneticPr fontId="1" type="noConversion"/>
  </si>
  <si>
    <t>(1876.38,972.17)</t>
    <phoneticPr fontId="1" type="noConversion"/>
  </si>
  <si>
    <t>(1705.06,1261.02)</t>
    <phoneticPr fontId="1" type="noConversion"/>
  </si>
  <si>
    <t>(956.07,834.82)</t>
    <phoneticPr fontId="1" type="noConversion"/>
  </si>
  <si>
    <t>(1234.44,651.83)</t>
    <phoneticPr fontId="1" type="noConversion"/>
  </si>
  <si>
    <t>(1364.75,850.07)</t>
    <phoneticPr fontId="1" type="noConversion"/>
  </si>
  <si>
    <t>(1086.37,1033.06)</t>
    <phoneticPr fontId="1" type="noConversion"/>
  </si>
  <si>
    <t>(1323.63,604.90)</t>
    <phoneticPr fontId="1" type="noConversion"/>
  </si>
  <si>
    <t>(1426.58,390.14)</t>
    <phoneticPr fontId="1" type="noConversion"/>
  </si>
  <si>
    <t>(1729.36,535.29)</t>
    <phoneticPr fontId="1" type="noConversion"/>
  </si>
  <si>
    <t>(1626.41,750.04)</t>
    <phoneticPr fontId="1" type="noConversion"/>
  </si>
  <si>
    <t>(886.07,1767.40)</t>
    <phoneticPr fontId="1" type="noConversion"/>
  </si>
  <si>
    <t>(1208.95,1640.96)</t>
    <phoneticPr fontId="1" type="noConversion"/>
  </si>
  <si>
    <t>(1294.90,1860.41)</t>
    <phoneticPr fontId="1" type="noConversion"/>
  </si>
  <si>
    <t>(972.01,1986.86)</t>
    <phoneticPr fontId="1" type="noConversion"/>
  </si>
  <si>
    <t>(1272.22,1877.30)</t>
    <phoneticPr fontId="1" type="noConversion"/>
  </si>
  <si>
    <t>(1447.11,1596.76)</t>
    <phoneticPr fontId="1" type="noConversion"/>
  </si>
  <si>
    <t>(1646.50,1721.05)</t>
    <phoneticPr fontId="1" type="noConversion"/>
  </si>
  <si>
    <t>(1471.62,2001.59)</t>
    <phoneticPr fontId="1" type="noConversion"/>
  </si>
  <si>
    <t>(1607.42,1698.43)</t>
    <phoneticPr fontId="1" type="noConversion"/>
  </si>
  <si>
    <t>(1745.54,1498.39)</t>
    <phoneticPr fontId="1" type="noConversion"/>
  </si>
  <si>
    <t>(2022.24,1689.45)</t>
    <phoneticPr fontId="1" type="noConversion"/>
  </si>
  <si>
    <t>(1884.12,1889.49)</t>
    <phoneticPr fontId="1" type="noConversion"/>
  </si>
  <si>
    <t>(639.16,1426.52)</t>
    <phoneticPr fontId="1" type="noConversion"/>
  </si>
  <si>
    <t>(830.52,1303.69)</t>
    <phoneticPr fontId="1" type="noConversion"/>
  </si>
  <si>
    <t>(1007.63,1579.60)</t>
    <phoneticPr fontId="1" type="noConversion"/>
  </si>
  <si>
    <t>(816.27,1702.43)</t>
    <phoneticPr fontId="1" type="noConversion"/>
  </si>
  <si>
    <t>(1289.37,1526.12)</t>
    <phoneticPr fontId="1" type="noConversion"/>
  </si>
  <si>
    <t>(1323.58,1285.27)</t>
    <phoneticPr fontId="1" type="noConversion"/>
  </si>
  <si>
    <t>(1653.29,1332.09)</t>
    <phoneticPr fontId="1" type="noConversion"/>
  </si>
  <si>
    <t>(1619.09,1572.94)</t>
    <phoneticPr fontId="1" type="noConversion"/>
  </si>
  <si>
    <t>(962.12,1476.99)</t>
    <phoneticPr fontId="1" type="noConversion"/>
  </si>
  <si>
    <t>(1025.63,1150.89)</t>
    <phoneticPr fontId="1" type="noConversion"/>
  </si>
  <si>
    <t>(1257.41,1196.02)</t>
    <phoneticPr fontId="1" type="noConversion"/>
  </si>
  <si>
    <t>(1193.90,1522.13)</t>
    <phoneticPr fontId="1" type="noConversion"/>
  </si>
  <si>
    <t>(1710.06,1409.69)</t>
    <phoneticPr fontId="1" type="noConversion"/>
  </si>
  <si>
    <t>(1881.94,1121.32)</t>
    <phoneticPr fontId="1" type="noConversion"/>
  </si>
  <si>
    <t>(2083.69,1241.57)</t>
    <phoneticPr fontId="1" type="noConversion"/>
  </si>
  <si>
    <t>(1911.81,1529.94)</t>
    <phoneticPr fontId="1" type="noConversion"/>
  </si>
  <si>
    <t>(577.58,986.92)</t>
    <phoneticPr fontId="1" type="noConversion"/>
  </si>
  <si>
    <t>(929.94,970.74)</t>
    <phoneticPr fontId="1" type="noConversion"/>
  </si>
  <si>
    <t>(940.96,1210.74)</t>
    <phoneticPr fontId="1" type="noConversion"/>
  </si>
  <si>
    <t>(588.60,1226.92)</t>
    <phoneticPr fontId="1" type="noConversion"/>
  </si>
  <si>
    <t>(1549.73,1251.14)</t>
    <phoneticPr fontId="1" type="noConversion"/>
  </si>
  <si>
    <t>(1555.65,915.51)</t>
    <phoneticPr fontId="1" type="noConversion"/>
  </si>
  <si>
    <t>(1798.42,919.79)</t>
    <phoneticPr fontId="1" type="noConversion"/>
  </si>
  <si>
    <t>(1792.49,1255.43)</t>
    <phoneticPr fontId="1" type="noConversion"/>
  </si>
  <si>
    <t>(1099.84,1135.66)</t>
    <phoneticPr fontId="1" type="noConversion"/>
  </si>
  <si>
    <t>(1105.94,806.00)</t>
    <phoneticPr fontId="1" type="noConversion"/>
  </si>
  <si>
    <t>(1342.79,810.39)</t>
    <phoneticPr fontId="1" type="noConversion"/>
  </si>
  <si>
    <t>(1336.68,1140.05)</t>
  </si>
  <si>
    <t>(1561.44,1356.05)</t>
    <phoneticPr fontId="1" type="noConversion"/>
  </si>
  <si>
    <t>(1844.21,1203.63)</t>
    <phoneticPr fontId="1" type="noConversion"/>
  </si>
  <si>
    <t>(1950.77,1401.33)</t>
    <phoneticPr fontId="1" type="noConversion"/>
  </si>
  <si>
    <t>(1668.00,1553.75)</t>
    <phoneticPr fontId="1" type="noConversion"/>
  </si>
  <si>
    <t>(1199.88,1364.96)</t>
    <phoneticPr fontId="1" type="noConversion"/>
  </si>
  <si>
    <t>(1332.38,1181.01)</t>
    <phoneticPr fontId="1" type="noConversion"/>
  </si>
  <si>
    <t>(1591.30,1367.52)</t>
    <phoneticPr fontId="1" type="noConversion"/>
  </si>
  <si>
    <t>(1458.79,1551.47)</t>
    <phoneticPr fontId="1" type="noConversion"/>
  </si>
  <si>
    <t>(1032.13,976.24)</t>
    <phoneticPr fontId="1" type="noConversion"/>
  </si>
  <si>
    <t>(1253.83,925.00)</t>
    <phoneticPr fontId="1" type="noConversion"/>
  </si>
  <si>
    <t>(1326.91,1241.21)</t>
    <phoneticPr fontId="1" type="noConversion"/>
  </si>
  <si>
    <t>(1105.22,1292.45)</t>
    <phoneticPr fontId="1" type="noConversion"/>
  </si>
  <si>
    <t>(1677.06,996.97)</t>
    <phoneticPr fontId="1" type="noConversion"/>
  </si>
  <si>
    <t>(1857.04,847.27)</t>
    <phoneticPr fontId="1" type="noConversion"/>
  </si>
  <si>
    <t>(2065.74,1098.19)</t>
    <phoneticPr fontId="1" type="noConversion"/>
  </si>
  <si>
    <t>(1885.77,1247.89)</t>
    <phoneticPr fontId="1" type="noConversion"/>
  </si>
  <si>
    <t>(1282.03,962.85)</t>
    <phoneticPr fontId="1" type="noConversion"/>
  </si>
  <si>
    <t>(1555.83,791.73)</t>
    <phoneticPr fontId="1" type="noConversion"/>
  </si>
  <si>
    <t>(1674.76,982.02)</t>
    <phoneticPr fontId="1" type="noConversion"/>
  </si>
  <si>
    <t>(1400.97,1153.15)</t>
    <phoneticPr fontId="1" type="noConversion"/>
  </si>
  <si>
    <t>(1572.89,602.79)</t>
    <phoneticPr fontId="1" type="noConversion"/>
  </si>
  <si>
    <t>(1794.38,526.94)</t>
    <phoneticPr fontId="1" type="noConversion"/>
  </si>
  <si>
    <t>(1901.46,839.62)</t>
    <phoneticPr fontId="1" type="noConversion"/>
  </si>
  <si>
    <t>(1679.97,915.48)</t>
    <phoneticPr fontId="1" type="noConversion"/>
  </si>
  <si>
    <t>(647.22,1804.12)</t>
    <phoneticPr fontId="1" type="noConversion"/>
  </si>
  <si>
    <t>(668.05,1468.86)</t>
    <phoneticPr fontId="1" type="noConversion"/>
  </si>
  <si>
    <t>(904.94,1483.58)</t>
    <phoneticPr fontId="1" type="noConversion"/>
  </si>
  <si>
    <t>(884.11,1818.84)</t>
    <phoneticPr fontId="1" type="noConversion"/>
  </si>
  <si>
    <t>(1124.72,1571.76)</t>
    <phoneticPr fontId="1" type="noConversion"/>
  </si>
  <si>
    <t>(1207.42,1341.66)</t>
    <phoneticPr fontId="1" type="noConversion"/>
  </si>
  <si>
    <t>(1533.69,1458.94)</t>
    <phoneticPr fontId="1" type="noConversion"/>
  </si>
  <si>
    <t>(1450.98,1689.04)</t>
    <phoneticPr fontId="1" type="noConversion"/>
  </si>
  <si>
    <t>(441.94,1293.70)</t>
    <phoneticPr fontId="1" type="noConversion"/>
  </si>
  <si>
    <t>(633.24,1001.31)</t>
    <phoneticPr fontId="1" type="noConversion"/>
  </si>
  <si>
    <t>(837.15,1134.72)</t>
    <phoneticPr fontId="1" type="noConversion"/>
  </si>
  <si>
    <t>(645.85,1427.11)</t>
    <phoneticPr fontId="1" type="noConversion"/>
  </si>
  <si>
    <t>(817.46,1184.38)</t>
    <phoneticPr fontId="1" type="noConversion"/>
  </si>
  <si>
    <t>(957.44,987.08)</t>
    <phoneticPr fontId="1" type="noConversion"/>
  </si>
  <si>
    <t>(1230.94,1181.11)</t>
    <phoneticPr fontId="1" type="noConversion"/>
  </si>
  <si>
    <t>(1090.96,1378.41)</t>
    <phoneticPr fontId="1" type="noConversion"/>
  </si>
  <si>
    <t>(1357.26,1071.37)</t>
    <phoneticPr fontId="1" type="noConversion"/>
  </si>
  <si>
    <t>(1421.35,731.21)</t>
    <phoneticPr fontId="1" type="noConversion"/>
  </si>
  <si>
    <t>(1669.81,778.02)</t>
    <phoneticPr fontId="1" type="noConversion"/>
  </si>
  <si>
    <t>(1605.72,1118.18)</t>
    <phoneticPr fontId="1" type="noConversion"/>
  </si>
  <si>
    <t>(858.58,741.14)</t>
    <phoneticPr fontId="1" type="noConversion"/>
  </si>
  <si>
    <t>(906.71,506.34)</t>
    <phoneticPr fontId="1" type="noConversion"/>
  </si>
  <si>
    <t>(1239.34 ,574.52)</t>
    <phoneticPr fontId="1" type="noConversion"/>
  </si>
  <si>
    <t>(1191.21,809.32)</t>
    <phoneticPr fontId="1" type="noConversion"/>
  </si>
  <si>
    <t>(1004.69,1687.14)</t>
    <phoneticPr fontId="1" type="noConversion"/>
  </si>
  <si>
    <t>(1315.85,1577.44)</t>
    <phoneticPr fontId="1" type="noConversion"/>
  </si>
  <si>
    <t>(1394.09,1799.35)</t>
    <phoneticPr fontId="1" type="noConversion"/>
  </si>
  <si>
    <t>(1082.93,1909.06)</t>
    <phoneticPr fontId="1" type="noConversion"/>
  </si>
  <si>
    <t>(1565.09,1596.42)</t>
    <phoneticPr fontId="1" type="noConversion"/>
  </si>
  <si>
    <t>(1875.98,1472.48)</t>
    <phoneticPr fontId="1" type="noConversion"/>
  </si>
  <si>
    <t>(1964.22,1693.84)</t>
    <phoneticPr fontId="1" type="noConversion"/>
  </si>
  <si>
    <t>(1653.34,1817.78)</t>
    <phoneticPr fontId="1" type="noConversion"/>
  </si>
  <si>
    <t>(1294.26,1397.46)</t>
    <phoneticPr fontId="1" type="noConversion"/>
  </si>
  <si>
    <t>(1435.99,1213.00)</t>
    <phoneticPr fontId="1" type="noConversion"/>
  </si>
  <si>
    <t>(1699.25,1415.27)</t>
    <phoneticPr fontId="1" type="noConversion"/>
  </si>
  <si>
    <t>(1557.51,1599.74)</t>
    <phoneticPr fontId="1" type="noConversion"/>
  </si>
  <si>
    <t>(499.85,1511.60)</t>
    <phoneticPr fontId="1" type="noConversion"/>
  </si>
  <si>
    <t>(659.60,1204.39)</t>
    <phoneticPr fontId="1" type="noConversion"/>
  </si>
  <si>
    <t>(874.14,1315.95)</t>
    <phoneticPr fontId="1" type="noConversion"/>
  </si>
  <si>
    <t>(714.39,1623.16)</t>
    <phoneticPr fontId="1" type="noConversion"/>
  </si>
  <si>
    <t>(871.32,1337.80)</t>
    <phoneticPr fontId="1" type="noConversion"/>
  </si>
  <si>
    <t>(999.19,1135.23)</t>
    <phoneticPr fontId="1" type="noConversion"/>
  </si>
  <si>
    <t>(1279.75,1312.34)</t>
    <phoneticPr fontId="1" type="noConversion"/>
  </si>
  <si>
    <t>(1151.88,1514.90)</t>
    <phoneticPr fontId="1" type="noConversion"/>
  </si>
  <si>
    <t>(1495.97,1140.56)</t>
    <phoneticPr fontId="1" type="noConversion"/>
  </si>
  <si>
    <t>(1668.55,849.24)</t>
    <phoneticPr fontId="1" type="noConversion"/>
  </si>
  <si>
    <t>(1875.22,971.67)</t>
    <phoneticPr fontId="1" type="noConversion"/>
  </si>
  <si>
    <t>(1702.65,1262.99)</t>
    <phoneticPr fontId="1" type="noConversion"/>
  </si>
  <si>
    <t>(955.72,838.78)</t>
    <phoneticPr fontId="1" type="noConversion"/>
  </si>
  <si>
    <t>(1232.10,648.96)</t>
    <phoneticPr fontId="1" type="noConversion"/>
  </si>
  <si>
    <t>(1367.42,845.99)</t>
    <phoneticPr fontId="1" type="noConversion"/>
  </si>
  <si>
    <t>(1091.05,1035.81)</t>
    <phoneticPr fontId="1" type="noConversion"/>
  </si>
  <si>
    <t>(1322.96,604.18)</t>
    <phoneticPr fontId="1" type="noConversion"/>
  </si>
  <si>
    <t>(1426.10,389.61)</t>
    <phoneticPr fontId="1" type="noConversion"/>
  </si>
  <si>
    <t>(1731.83,536.57)</t>
    <phoneticPr fontId="1" type="noConversion"/>
  </si>
  <si>
    <t>(1628.70,751.14)</t>
    <phoneticPr fontId="1" type="noConversion"/>
  </si>
  <si>
    <t>(888.11,1765.60)</t>
    <phoneticPr fontId="1" type="noConversion"/>
  </si>
  <si>
    <t>(1212.67,1639.89)</t>
    <phoneticPr fontId="1" type="noConversion"/>
  </si>
  <si>
    <t>(1298.26,1860.85)</t>
    <phoneticPr fontId="1" type="noConversion"/>
  </si>
  <si>
    <t>(973.69,1986.56)</t>
    <phoneticPr fontId="1" type="noConversion"/>
  </si>
  <si>
    <t>(1274.78,1880.22)</t>
    <phoneticPr fontId="1" type="noConversion"/>
  </si>
  <si>
    <t>(1445.18,1597.61)</t>
    <phoneticPr fontId="1" type="noConversion"/>
  </si>
  <si>
    <t>(1647.40,1719.53)</t>
    <phoneticPr fontId="1" type="noConversion"/>
  </si>
  <si>
    <t>(1477.00,2002.15)</t>
    <phoneticPr fontId="1" type="noConversion"/>
  </si>
  <si>
    <t>(1609.71,1699.91)</t>
    <phoneticPr fontId="1" type="noConversion"/>
  </si>
  <si>
    <t>(1739.07,1499.40)</t>
    <phoneticPr fontId="1" type="noConversion"/>
  </si>
  <si>
    <t>(2024.01,1683.23)</t>
    <phoneticPr fontId="1" type="noConversion"/>
  </si>
  <si>
    <t>(1894.65,1883.74)</t>
    <phoneticPr fontId="1" type="noConversion"/>
  </si>
  <si>
    <t>(639.29,1422.83)</t>
    <phoneticPr fontId="1" type="noConversion"/>
  </si>
  <si>
    <t>(838.77,1301.40)</t>
    <phoneticPr fontId="1" type="noConversion"/>
  </si>
  <si>
    <t>(1012.02,1586.03)</t>
    <phoneticPr fontId="1" type="noConversion"/>
  </si>
  <si>
    <t>(812.54,1707.46)</t>
    <phoneticPr fontId="1" type="noConversion"/>
  </si>
  <si>
    <t>(1290.06,1526.58)</t>
    <phoneticPr fontId="1" type="noConversion"/>
  </si>
  <si>
    <t>(1324.32,1286.76)</t>
    <phoneticPr fontId="1" type="noConversion"/>
  </si>
  <si>
    <t>(1655.42,1334.06)</t>
    <phoneticPr fontId="1" type="noConversion"/>
  </si>
  <si>
    <t>(1621.16,1573.88)</t>
    <phoneticPr fontId="1" type="noConversion"/>
  </si>
  <si>
    <t>(962.67,1476.01)</t>
    <phoneticPr fontId="1" type="noConversion"/>
  </si>
  <si>
    <t>(1030.46,1149.08)</t>
    <phoneticPr fontId="1" type="noConversion"/>
  </si>
  <si>
    <t>(1260.69,1196.82)</t>
    <phoneticPr fontId="1" type="noConversion"/>
  </si>
  <si>
    <t>(1192.89,1523.75)</t>
    <phoneticPr fontId="1" type="noConversion"/>
  </si>
  <si>
    <t>(1706.33,1410.42)</t>
    <phoneticPr fontId="1" type="noConversion"/>
  </si>
  <si>
    <t>(1882.99,1120.91)</t>
    <phoneticPr fontId="1" type="noConversion"/>
  </si>
  <si>
    <t>(2085.99,1244.77)</t>
    <phoneticPr fontId="1" type="noConversion"/>
  </si>
  <si>
    <t>(1909.33,1534.29)</t>
    <phoneticPr fontId="1" type="noConversion"/>
  </si>
  <si>
    <t>(580.86,985.67)</t>
    <phoneticPr fontId="1" type="noConversion"/>
  </si>
  <si>
    <t>(935.04,970.92)</t>
    <phoneticPr fontId="1" type="noConversion"/>
  </si>
  <si>
    <t>(945.05,1211.08)</t>
    <phoneticPr fontId="1" type="noConversion"/>
  </si>
  <si>
    <t>(590.87,1225.84)</t>
    <phoneticPr fontId="1" type="noConversion"/>
  </si>
  <si>
    <t>(1548.69,1250.96)</t>
    <phoneticPr fontId="1" type="noConversion"/>
  </si>
  <si>
    <t>(1559.23,913.63)</t>
    <phoneticPr fontId="1" type="noConversion"/>
  </si>
  <si>
    <t>(1804.65,921.30)</t>
    <phoneticPr fontId="1" type="noConversion"/>
  </si>
  <si>
    <t>(1794.11,1258.63)</t>
    <phoneticPr fontId="1" type="noConversion"/>
  </si>
  <si>
    <t>(1100.46,1137.58)</t>
    <phoneticPr fontId="1" type="noConversion"/>
  </si>
  <si>
    <t>(1107.13,805.39)</t>
    <phoneticPr fontId="1" type="noConversion"/>
  </si>
  <si>
    <t>(1343.94,810.15)</t>
    <phoneticPr fontId="1" type="noConversion"/>
  </si>
  <si>
    <t>(1337.26,1142.34)</t>
    <phoneticPr fontId="1" type="noConversion"/>
  </si>
  <si>
    <t>No.</t>
    <phoneticPr fontId="1" type="noConversion"/>
  </si>
  <si>
    <t>experimental value of box[0]</t>
    <phoneticPr fontId="1" type="noConversion"/>
  </si>
  <si>
    <t>standard value of box[0]</t>
    <phoneticPr fontId="1" type="noConversion"/>
  </si>
  <si>
    <t>experimental value of box[1]</t>
    <phoneticPr fontId="1" type="noConversion"/>
  </si>
  <si>
    <t>standard value of box[1]</t>
    <phoneticPr fontId="1" type="noConversion"/>
  </si>
  <si>
    <t>experimental value of box[2]</t>
    <phoneticPr fontId="1" type="noConversion"/>
  </si>
  <si>
    <t>standard value of box[2]</t>
    <phoneticPr fontId="1" type="noConversion"/>
  </si>
  <si>
    <t>experimental value of box[3]</t>
    <phoneticPr fontId="1" type="noConversion"/>
  </si>
  <si>
    <t>standard value of box[3]</t>
    <phoneticPr fontId="1" type="noConversion"/>
  </si>
  <si>
    <t>experimental value of box[0][x]</t>
    <phoneticPr fontId="1" type="noConversion"/>
  </si>
  <si>
    <t>experimental value of box[0][y]</t>
    <phoneticPr fontId="1" type="noConversion"/>
  </si>
  <si>
    <t>standard value of box[0][x]</t>
    <phoneticPr fontId="1" type="noConversion"/>
  </si>
  <si>
    <t>standard value of box[0][y]</t>
    <phoneticPr fontId="1" type="noConversion"/>
  </si>
  <si>
    <t>experimental value of box[1][x]</t>
    <phoneticPr fontId="1" type="noConversion"/>
  </si>
  <si>
    <t>experimental value of box[1][y]</t>
    <phoneticPr fontId="1" type="noConversion"/>
  </si>
  <si>
    <t>standard value of box[1][x]</t>
    <phoneticPr fontId="1" type="noConversion"/>
  </si>
  <si>
    <t>standard value of box[1][y]</t>
    <phoneticPr fontId="1" type="noConversion"/>
  </si>
  <si>
    <t>error of box[0](Euclidean distance)</t>
    <phoneticPr fontId="1" type="noConversion"/>
  </si>
  <si>
    <t>error of box[1](Euclidean distance)</t>
    <phoneticPr fontId="1" type="noConversion"/>
  </si>
  <si>
    <t>experimental value of box[2][x]</t>
    <phoneticPr fontId="1" type="noConversion"/>
  </si>
  <si>
    <t>experimental value of box[2][y]</t>
    <phoneticPr fontId="1" type="noConversion"/>
  </si>
  <si>
    <t>standard value of box[2][x]</t>
    <phoneticPr fontId="1" type="noConversion"/>
  </si>
  <si>
    <t>standard value of box[2][y]</t>
    <phoneticPr fontId="1" type="noConversion"/>
  </si>
  <si>
    <t>error of box[2](Euclidean distance)</t>
    <phoneticPr fontId="1" type="noConversion"/>
  </si>
  <si>
    <t>experimental value of box[3][x]</t>
    <phoneticPr fontId="1" type="noConversion"/>
  </si>
  <si>
    <t>experimental value of box[3][y]</t>
    <phoneticPr fontId="1" type="noConversion"/>
  </si>
  <si>
    <t>standard value of box[3][x]</t>
    <phoneticPr fontId="1" type="noConversion"/>
  </si>
  <si>
    <t>standard value of box[3][y]</t>
    <phoneticPr fontId="1" type="noConversion"/>
  </si>
  <si>
    <t>error of box[3](Euclidean distance)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</si>
</sst>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DA50-A0FE-4984-BD9C-9A54B210A58D}">
  <dimension ref="A1:AC31"/>
  <sheetViews>
    <sheetView tabSelected="1" topLeftCell="Y1" workbookViewId="0">
      <selection activeCell="AE6" sqref="AE6"/>
    </sheetView>
  </sheetViews>
  <sheetFormatPr defaultRowHeight="14.4" x14ac:dyDescent="0.25"/>
  <cols>
    <col min="1" max="1" width="8.88671875" style="3"/>
    <col min="2" max="3" width="31.88671875" style="2" customWidth="1"/>
    <col min="4" max="9" width="31.88671875" style="3" customWidth="1"/>
    <col min="10" max="11" width="35.44140625" style="2" customWidth="1"/>
    <col min="12" max="13" width="30.88671875" style="2" customWidth="1"/>
    <col min="14" max="14" width="40.33203125" style="2" customWidth="1"/>
    <col min="15" max="16" width="35.44140625" style="3" customWidth="1"/>
    <col min="17" max="18" width="30.88671875" style="3" customWidth="1"/>
    <col min="19" max="19" width="40.33203125" style="2" customWidth="1"/>
    <col min="20" max="21" width="35.44140625" style="3" customWidth="1"/>
    <col min="22" max="23" width="30.88671875" style="3" customWidth="1"/>
    <col min="24" max="24" width="40.33203125" style="2" customWidth="1"/>
    <col min="25" max="26" width="35.44140625" style="3" customWidth="1"/>
    <col min="27" max="28" width="30.88671875" style="3" customWidth="1"/>
    <col min="29" max="29" width="40.33203125" style="2" customWidth="1"/>
    <col min="30" max="16384" width="8.88671875" style="2"/>
  </cols>
  <sheetData>
    <row r="1" spans="1:29" ht="15.6" x14ac:dyDescent="0.25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257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264</v>
      </c>
      <c r="Z1" s="1" t="s">
        <v>265</v>
      </c>
      <c r="AA1" s="1" t="s">
        <v>266</v>
      </c>
      <c r="AB1" s="1" t="s">
        <v>267</v>
      </c>
      <c r="AC1" s="1" t="s">
        <v>268</v>
      </c>
    </row>
    <row r="2" spans="1:29" ht="15.6" x14ac:dyDescent="0.25">
      <c r="A2" s="1">
        <v>1</v>
      </c>
      <c r="B2" s="1" t="s">
        <v>0</v>
      </c>
      <c r="C2" s="1" t="s">
        <v>120</v>
      </c>
      <c r="D2" s="1" t="s">
        <v>1</v>
      </c>
      <c r="E2" s="1" t="s">
        <v>121</v>
      </c>
      <c r="F2" s="1" t="s">
        <v>2</v>
      </c>
      <c r="G2" s="1" t="s">
        <v>122</v>
      </c>
      <c r="H2" s="1" t="s">
        <v>3</v>
      </c>
      <c r="I2" s="1" t="s">
        <v>123</v>
      </c>
      <c r="J2" s="1" t="str">
        <f>LEFT(MID(B2, 2, LEN(B2) - 2), FIND(",", MID(B2, 2, LEN(B2) - 2)) - 1)</f>
        <v>1561.14</v>
      </c>
      <c r="K2" s="1" t="str">
        <f>MID(MID(B2, 2, LEN(B2) - 2), FIND(",", MID(B2, 2, LEN(B2) - 2)) + 1, LEN(MID(B2, 2, LEN(B2) - 2)))</f>
        <v>1353.13</v>
      </c>
      <c r="L2" s="1" t="str">
        <f>LEFT(MID(C2, 2, LEN(C2) - 2), FIND(",", MID(C2, 2, LEN(C2) - 2)) - 1)</f>
        <v>1561.44</v>
      </c>
      <c r="M2" s="1" t="str">
        <f>MID(MID(C2, 2, LEN(C2) - 2), FIND(",", MID(C2, 2, LEN(C2) - 2)) + 1, LEN(MID(C2, 2, LEN(C2) - 2)))</f>
        <v>1356.05</v>
      </c>
      <c r="N2" s="1">
        <f>SQRT((L2 - J2)^2 + (M2 - K2)^2)</f>
        <v>2.935370504723223</v>
      </c>
      <c r="O2" s="1" t="str">
        <f>LEFT(MID(D2, 2, LEN(D2) - 2), FIND(",", MID(D2, 2, LEN(D2) - 2)) - 1)</f>
        <v>1844.04</v>
      </c>
      <c r="P2" s="1" t="str">
        <f>MID(MID(D2, 2, LEN(D2) - 2), FIND(",", MID(D2, 2, LEN(D2) - 2)) + 1, LEN(MID(D2, 2, LEN(D2) - 2)))</f>
        <v>1204.87</v>
      </c>
      <c r="Q2" s="1" t="str">
        <f>LEFT(MID(E2, 2, LEN(E2) - 2), FIND(",", MID(E2, 2, LEN(E2) - 2)) - 1)</f>
        <v>1844.21</v>
      </c>
      <c r="R2" s="1" t="str">
        <f>MID(MID(E2, 2, LEN(E2) - 2), FIND(",", MID(E2, 2, LEN(E2) - 2)) + 1, LEN(MID(E2, 2, LEN(E2) - 2)))</f>
        <v>1203.63</v>
      </c>
      <c r="S2" s="1">
        <f>SQRT((Q2 - O2)^2 + (R2 - P2)^2)</f>
        <v>1.2515989773084202</v>
      </c>
      <c r="T2" s="1" t="str">
        <f>LEFT(MID(F2, 2, LEN(F2) - 2), FIND(",", MID(F2, 2, LEN(F2) - 2)) - 1)</f>
        <v>1949.41</v>
      </c>
      <c r="U2" s="1" t="str">
        <f>MID(MID(F2, 2, LEN(F2) - 2), FIND(",", MID(F2, 2, LEN(F2) - 2)) + 1, LEN(MID(F2, 2, LEN(F2) - 2)))</f>
        <v>1405.92</v>
      </c>
      <c r="V2" s="1" t="str">
        <f>LEFT(MID(G2, 2, LEN(G2) - 2), FIND(",", MID(G2, 2, LEN(G2) - 2)) - 1)</f>
        <v>1950.77</v>
      </c>
      <c r="W2" s="1" t="str">
        <f>MID(MID(G2, 2, LEN(G2) - 2), FIND(",", MID(G2, 2, LEN(G2) - 2)) + 1, LEN(MID(G2, 2, LEN(G2) - 2)))</f>
        <v>1401.33</v>
      </c>
      <c r="X2" s="1">
        <f>SQRT((V2 - T2)^2 + (W2 - U2)^2)</f>
        <v>4.7872434657118772</v>
      </c>
      <c r="Y2" s="1" t="str">
        <f>LEFT(MID(H2, 2, LEN(H2) - 2), FIND(",", MID(H2, 2, LEN(H2) - 2)) - 1)</f>
        <v>1666.51</v>
      </c>
      <c r="Z2" s="1" t="str">
        <f>MID(MID(H2, 2, LEN(H2) - 2), FIND(",", MID(H2, 2, LEN(H2) - 2)) + 1, LEN(MID(H2, 2, LEN(H2) - 2)))</f>
        <v>1554.19</v>
      </c>
      <c r="AA2" s="1" t="str">
        <f>LEFT(MID(I2, 2, LEN(I2) - 2), FIND(",", MID(I2, 2, LEN(I2) - 2)) - 1)</f>
        <v>1668.00</v>
      </c>
      <c r="AB2" s="1" t="str">
        <f>MID(MID(I2, 2, LEN(I2) - 2), FIND(",", MID(I2, 2, LEN(I2) - 2)) + 1, LEN(MID(I2, 2, LEN(I2) - 2)))</f>
        <v>1553.75</v>
      </c>
      <c r="AC2" s="1">
        <f>SQRT((AA2 - Y2)^2 + (AB2 - Z2)^2)</f>
        <v>1.5536087023443435</v>
      </c>
    </row>
    <row r="3" spans="1:29" ht="15.6" x14ac:dyDescent="0.25">
      <c r="A3" s="1">
        <v>2</v>
      </c>
      <c r="B3" s="1" t="s">
        <v>4</v>
      </c>
      <c r="C3" s="1" t="s">
        <v>124</v>
      </c>
      <c r="D3" s="1" t="s">
        <v>5</v>
      </c>
      <c r="E3" s="1" t="s">
        <v>125</v>
      </c>
      <c r="F3" s="1" t="s">
        <v>6</v>
      </c>
      <c r="G3" s="1" t="s">
        <v>126</v>
      </c>
      <c r="H3" s="1" t="s">
        <v>7</v>
      </c>
      <c r="I3" s="1" t="s">
        <v>127</v>
      </c>
      <c r="J3" s="1" t="str">
        <f t="shared" ref="J3:J31" si="0">LEFT(MID(B3, 2, LEN(B3) - 2), FIND(",", MID(B3, 2, LEN(B3) - 2)) - 1)</f>
        <v>1200.26</v>
      </c>
      <c r="K3" s="1" t="str">
        <f t="shared" ref="K3:K31" si="1">MID(MID(B3, 2, LEN(B3) - 2), FIND(",", MID(B3, 2, LEN(B3) - 2)) + 1, LEN(MID(B3, 2, LEN(B3) - 2)))</f>
        <v>1362.4</v>
      </c>
      <c r="L3" s="1" t="str">
        <f t="shared" ref="L3:L31" si="2">LEFT(MID(C3, 2, LEN(C3) - 2), FIND(",", MID(C3, 2, LEN(C3) - 2)) - 1)</f>
        <v>1199.88</v>
      </c>
      <c r="M3" s="1" t="str">
        <f t="shared" ref="M3:M31" si="3">MID(MID(C3, 2, LEN(C3) - 2), FIND(",", MID(C3, 2, LEN(C3) - 2)) + 1, LEN(MID(C3, 2, LEN(C3) - 2)))</f>
        <v>1364.96</v>
      </c>
      <c r="N3" s="1">
        <f t="shared" ref="N3:N31" si="4">SQRT((L3 - J3)^2 + (M3 - K3)^2)</f>
        <v>2.5880494585690652</v>
      </c>
      <c r="O3" s="1" t="str">
        <f t="shared" ref="O3:O31" si="5">LEFT(MID(D3, 2, LEN(D3) - 2), FIND(",", MID(D3, 2, LEN(D3) - 2)) - 1)</f>
        <v>1335.22</v>
      </c>
      <c r="P3" s="1" t="str">
        <f t="shared" ref="P3:P31" si="6">MID(MID(D3, 2, LEN(D3) - 2), FIND(",", MID(D3, 2, LEN(D3) - 2)) + 1, LEN(MID(D3, 2, LEN(D3) - 2)))</f>
        <v>1181.05</v>
      </c>
      <c r="Q3" s="1" t="str">
        <f t="shared" ref="Q3:Q31" si="7">LEFT(MID(E3, 2, LEN(E3) - 2), FIND(",", MID(E3, 2, LEN(E3) - 2)) - 1)</f>
        <v>1332.38</v>
      </c>
      <c r="R3" s="1" t="str">
        <f t="shared" ref="R3:R31" si="8">MID(MID(E3, 2, LEN(E3) - 2), FIND(",", MID(E3, 2, LEN(E3) - 2)) + 1, LEN(MID(E3, 2, LEN(E3) - 2)))</f>
        <v>1181.01</v>
      </c>
      <c r="S3" s="1">
        <f t="shared" ref="S3:S31" si="9">SQRT((Q3 - O3)^2 + (R3 - P3)^2)</f>
        <v>2.8402816761721943</v>
      </c>
      <c r="T3" s="1" t="str">
        <f t="shared" ref="T3:T31" si="10">LEFT(MID(F3, 2, LEN(F3) - 2), FIND(",", MID(F3, 2, LEN(F3) - 2)) - 1)</f>
        <v>1587.77</v>
      </c>
      <c r="U3" s="1" t="str">
        <f t="shared" ref="U3:U31" si="11">MID(MID(F3, 2, LEN(F3) - 2), FIND(",", MID(F3, 2, LEN(F3) - 2)) + 1, LEN(MID(F3, 2, LEN(F3) - 2)))</f>
        <v>1368.99</v>
      </c>
      <c r="V3" s="1" t="str">
        <f t="shared" ref="V3:V31" si="12">LEFT(MID(G3, 2, LEN(G3) - 2), FIND(",", MID(G3, 2, LEN(G3) - 2)) - 1)</f>
        <v>1591.30</v>
      </c>
      <c r="W3" s="1" t="str">
        <f t="shared" ref="W3:W31" si="13">MID(MID(G3, 2, LEN(G3) - 2), FIND(",", MID(G3, 2, LEN(G3) - 2)) + 1, LEN(MID(G3, 2, LEN(G3) - 2)))</f>
        <v>1367.52</v>
      </c>
      <c r="X3" s="1">
        <f t="shared" ref="X3:X31" si="14">SQRT((V3 - T3)^2 + (W3 - U3)^2)</f>
        <v>3.823846231217972</v>
      </c>
      <c r="Y3" s="1" t="str">
        <f t="shared" ref="Y3:Y31" si="15">LEFT(MID(H3, 2, LEN(H3) - 2), FIND(",", MID(H3, 2, LEN(H3) - 2)) - 1)</f>
        <v>1452.81</v>
      </c>
      <c r="Z3" s="1" t="str">
        <f t="shared" ref="Z3:Z31" si="16">MID(MID(H3, 2, LEN(H3) - 2), FIND(",", MID(H3, 2, LEN(H3) - 2)) + 1, LEN(MID(H3, 2, LEN(H3) - 2)))</f>
        <v>1550.35</v>
      </c>
      <c r="AA3" s="1" t="str">
        <f t="shared" ref="AA3:AA31" si="17">LEFT(MID(I3, 2, LEN(I3) - 2), FIND(",", MID(I3, 2, LEN(I3) - 2)) - 1)</f>
        <v>1458.79</v>
      </c>
      <c r="AB3" s="1" t="str">
        <f t="shared" ref="AB3:AB31" si="18">MID(MID(I3, 2, LEN(I3) - 2), FIND(",", MID(I3, 2, LEN(I3) - 2)) + 1, LEN(MID(I3, 2, LEN(I3) - 2)))</f>
        <v>1551.47</v>
      </c>
      <c r="AC3" s="1">
        <f t="shared" ref="AC3:AC31" si="19">SQRT((AA3 - Y3)^2 + (AB3 - Z3)^2)</f>
        <v>6.0839789611733934</v>
      </c>
    </row>
    <row r="4" spans="1:29" ht="15.6" x14ac:dyDescent="0.25">
      <c r="A4" s="1">
        <v>3</v>
      </c>
      <c r="B4" s="1" t="s">
        <v>8</v>
      </c>
      <c r="C4" s="1" t="s">
        <v>128</v>
      </c>
      <c r="D4" s="1" t="s">
        <v>9</v>
      </c>
      <c r="E4" s="1" t="s">
        <v>129</v>
      </c>
      <c r="F4" s="1" t="s">
        <v>10</v>
      </c>
      <c r="G4" s="1" t="s">
        <v>130</v>
      </c>
      <c r="H4" s="1" t="s">
        <v>11</v>
      </c>
      <c r="I4" s="1" t="s">
        <v>131</v>
      </c>
      <c r="J4" s="1" t="str">
        <f t="shared" si="0"/>
        <v>1034.05</v>
      </c>
      <c r="K4" s="1" t="str">
        <f t="shared" si="1"/>
        <v>976.21</v>
      </c>
      <c r="L4" s="1" t="str">
        <f t="shared" si="2"/>
        <v>1032.13</v>
      </c>
      <c r="M4" s="1" t="str">
        <f t="shared" si="3"/>
        <v>976.24</v>
      </c>
      <c r="N4" s="1">
        <f t="shared" si="4"/>
        <v>1.9202343606964762</v>
      </c>
      <c r="O4" s="1" t="str">
        <f t="shared" si="5"/>
        <v>1258.09</v>
      </c>
      <c r="P4" s="1" t="str">
        <f t="shared" si="6"/>
        <v>926.42</v>
      </c>
      <c r="Q4" s="1" t="str">
        <f t="shared" si="7"/>
        <v>1253.83</v>
      </c>
      <c r="R4" s="1" t="str">
        <f t="shared" si="8"/>
        <v>925.00</v>
      </c>
      <c r="S4" s="1">
        <f t="shared" si="9"/>
        <v>4.4904342774390766</v>
      </c>
      <c r="T4" s="1" t="str">
        <f t="shared" si="10"/>
        <v>1328.26</v>
      </c>
      <c r="U4" s="1" t="str">
        <f t="shared" si="11"/>
        <v>1242.16</v>
      </c>
      <c r="V4" s="1" t="str">
        <f t="shared" si="12"/>
        <v>1326.91</v>
      </c>
      <c r="W4" s="1" t="str">
        <f t="shared" si="13"/>
        <v>1241.21</v>
      </c>
      <c r="X4" s="1">
        <f t="shared" si="14"/>
        <v>1.6507574019218696</v>
      </c>
      <c r="Y4" s="1" t="str">
        <f t="shared" si="15"/>
        <v>1104.21</v>
      </c>
      <c r="Z4" s="1" t="str">
        <f t="shared" si="16"/>
        <v>1291.95</v>
      </c>
      <c r="AA4" s="1" t="str">
        <f t="shared" si="17"/>
        <v>1105.22</v>
      </c>
      <c r="AB4" s="1" t="str">
        <f t="shared" si="18"/>
        <v>1292.45</v>
      </c>
      <c r="AC4" s="1">
        <f t="shared" si="19"/>
        <v>1.126987133910579</v>
      </c>
    </row>
    <row r="5" spans="1:29" ht="15.6" x14ac:dyDescent="0.25">
      <c r="A5" s="1">
        <v>4</v>
      </c>
      <c r="B5" s="1" t="s">
        <v>12</v>
      </c>
      <c r="C5" s="1" t="s">
        <v>132</v>
      </c>
      <c r="D5" s="1" t="s">
        <v>13</v>
      </c>
      <c r="E5" s="1" t="s">
        <v>133</v>
      </c>
      <c r="F5" s="1" t="s">
        <v>14</v>
      </c>
      <c r="G5" s="1" t="s">
        <v>134</v>
      </c>
      <c r="H5" s="1" t="s">
        <v>15</v>
      </c>
      <c r="I5" s="1" t="s">
        <v>135</v>
      </c>
      <c r="J5" s="1" t="str">
        <f t="shared" si="0"/>
        <v>1677.61</v>
      </c>
      <c r="K5" s="1" t="str">
        <f t="shared" si="1"/>
        <v>999.37</v>
      </c>
      <c r="L5" s="1" t="str">
        <f t="shared" si="2"/>
        <v>1677.06</v>
      </c>
      <c r="M5" s="1" t="str">
        <f t="shared" si="3"/>
        <v>996.97</v>
      </c>
      <c r="N5" s="1">
        <f t="shared" si="4"/>
        <v>2.4622144504489936</v>
      </c>
      <c r="O5" s="1" t="str">
        <f t="shared" si="5"/>
        <v>1859.50</v>
      </c>
      <c r="P5" s="1" t="str">
        <f t="shared" si="6"/>
        <v>849.93</v>
      </c>
      <c r="Q5" s="1" t="str">
        <f t="shared" si="7"/>
        <v>1857.04</v>
      </c>
      <c r="R5" s="1" t="str">
        <f t="shared" si="8"/>
        <v>847.27</v>
      </c>
      <c r="S5" s="1">
        <f t="shared" si="9"/>
        <v>3.6231478026710433</v>
      </c>
      <c r="T5" s="1" t="str">
        <f t="shared" si="10"/>
        <v>2064.15</v>
      </c>
      <c r="U5" s="1" t="str">
        <f t="shared" si="11"/>
        <v>1099.00</v>
      </c>
      <c r="V5" s="1" t="str">
        <f t="shared" si="12"/>
        <v>2065.74</v>
      </c>
      <c r="W5" s="1" t="str">
        <f t="shared" si="13"/>
        <v>1098.19</v>
      </c>
      <c r="X5" s="1">
        <f t="shared" si="14"/>
        <v>1.7844326829552657</v>
      </c>
      <c r="Y5" s="1" t="str">
        <f t="shared" si="15"/>
        <v>1882.26</v>
      </c>
      <c r="Z5" s="1" t="str">
        <f t="shared" si="16"/>
        <v>1248.45</v>
      </c>
      <c r="AA5" s="1" t="str">
        <f t="shared" si="17"/>
        <v>1885.77</v>
      </c>
      <c r="AB5" s="1" t="str">
        <f t="shared" si="18"/>
        <v>1247.89</v>
      </c>
      <c r="AC5" s="1">
        <f t="shared" si="19"/>
        <v>3.5543916497763544</v>
      </c>
    </row>
    <row r="6" spans="1:29" ht="15.6" x14ac:dyDescent="0.25">
      <c r="A6" s="1">
        <v>5</v>
      </c>
      <c r="B6" s="1" t="s">
        <v>16</v>
      </c>
      <c r="C6" s="1" t="s">
        <v>136</v>
      </c>
      <c r="D6" s="1" t="s">
        <v>17</v>
      </c>
      <c r="E6" s="1" t="s">
        <v>137</v>
      </c>
      <c r="F6" s="1" t="s">
        <v>18</v>
      </c>
      <c r="G6" s="1" t="s">
        <v>138</v>
      </c>
      <c r="H6" s="1" t="s">
        <v>19</v>
      </c>
      <c r="I6" s="1" t="s">
        <v>139</v>
      </c>
      <c r="J6" s="1" t="str">
        <f t="shared" si="0"/>
        <v>1283.91</v>
      </c>
      <c r="K6" s="1" t="str">
        <f t="shared" si="1"/>
        <v>961.42</v>
      </c>
      <c r="L6" s="1" t="str">
        <f t="shared" si="2"/>
        <v>1282.03</v>
      </c>
      <c r="M6" s="1" t="str">
        <f t="shared" si="3"/>
        <v>962.85</v>
      </c>
      <c r="N6" s="1">
        <f t="shared" si="4"/>
        <v>2.3620541907417349</v>
      </c>
      <c r="O6" s="1" t="str">
        <f t="shared" si="5"/>
        <v>1552.18</v>
      </c>
      <c r="P6" s="1" t="str">
        <f t="shared" si="6"/>
        <v>790.71</v>
      </c>
      <c r="Q6" s="1" t="str">
        <f t="shared" si="7"/>
        <v>1555.83</v>
      </c>
      <c r="R6" s="1" t="str">
        <f t="shared" si="8"/>
        <v>791.73</v>
      </c>
      <c r="S6" s="1">
        <f t="shared" si="9"/>
        <v>3.7898416853476831</v>
      </c>
      <c r="T6" s="1" t="str">
        <f t="shared" si="10"/>
        <v>1673.98</v>
      </c>
      <c r="U6" s="1" t="str">
        <f t="shared" si="11"/>
        <v>982.11</v>
      </c>
      <c r="V6" s="1" t="str">
        <f t="shared" si="12"/>
        <v>1674.76</v>
      </c>
      <c r="W6" s="1" t="str">
        <f t="shared" si="13"/>
        <v>982.02</v>
      </c>
      <c r="X6" s="1">
        <f t="shared" si="14"/>
        <v>0.78517513969812058</v>
      </c>
      <c r="Y6" s="1" t="str">
        <f t="shared" si="15"/>
        <v>1405.71</v>
      </c>
      <c r="Z6" s="1" t="str">
        <f t="shared" si="16"/>
        <v>1152.82</v>
      </c>
      <c r="AA6" s="1" t="str">
        <f t="shared" si="17"/>
        <v>1400.97</v>
      </c>
      <c r="AB6" s="1" t="str">
        <f t="shared" si="18"/>
        <v>1153.15</v>
      </c>
      <c r="AC6" s="1">
        <f t="shared" si="19"/>
        <v>4.75147345567669</v>
      </c>
    </row>
    <row r="7" spans="1:29" ht="15.6" x14ac:dyDescent="0.25">
      <c r="A7" s="1">
        <v>6</v>
      </c>
      <c r="B7" s="1" t="s">
        <v>20</v>
      </c>
      <c r="C7" s="1" t="s">
        <v>140</v>
      </c>
      <c r="D7" s="1" t="s">
        <v>21</v>
      </c>
      <c r="E7" s="1" t="s">
        <v>141</v>
      </c>
      <c r="F7" s="1" t="s">
        <v>22</v>
      </c>
      <c r="G7" s="1" t="s">
        <v>142</v>
      </c>
      <c r="H7" s="1" t="s">
        <v>23</v>
      </c>
      <c r="I7" s="1" t="s">
        <v>143</v>
      </c>
      <c r="J7" s="1" t="str">
        <f t="shared" si="0"/>
        <v>1570.79</v>
      </c>
      <c r="K7" s="1" t="str">
        <f t="shared" si="1"/>
        <v>607.30</v>
      </c>
      <c r="L7" s="1" t="str">
        <f t="shared" si="2"/>
        <v>1572.89</v>
      </c>
      <c r="M7" s="1" t="str">
        <f t="shared" si="3"/>
        <v>602.79</v>
      </c>
      <c r="N7" s="1">
        <f t="shared" si="4"/>
        <v>4.9749472359011495</v>
      </c>
      <c r="O7" s="1" t="str">
        <f t="shared" si="5"/>
        <v>1790.84</v>
      </c>
      <c r="P7" s="1" t="str">
        <f t="shared" si="6"/>
        <v>528.82</v>
      </c>
      <c r="Q7" s="1" t="str">
        <f t="shared" si="7"/>
        <v>1794.38</v>
      </c>
      <c r="R7" s="1" t="str">
        <f t="shared" si="8"/>
        <v>526.94</v>
      </c>
      <c r="S7" s="1">
        <f t="shared" si="9"/>
        <v>4.0082415096899204</v>
      </c>
      <c r="T7" s="1" t="str">
        <f t="shared" si="10"/>
        <v>1899.31</v>
      </c>
      <c r="U7" s="1" t="str">
        <f t="shared" si="11"/>
        <v>832.94</v>
      </c>
      <c r="V7" s="1" t="str">
        <f t="shared" si="12"/>
        <v>1901.46</v>
      </c>
      <c r="W7" s="1" t="str">
        <f t="shared" si="13"/>
        <v>839.62</v>
      </c>
      <c r="X7" s="1">
        <f t="shared" si="14"/>
        <v>7.0174710544468741</v>
      </c>
      <c r="Y7" s="1" t="str">
        <f t="shared" si="15"/>
        <v>1679.25</v>
      </c>
      <c r="Z7" s="1" t="str">
        <f t="shared" si="16"/>
        <v>911.42</v>
      </c>
      <c r="AA7" s="1" t="str">
        <f t="shared" si="17"/>
        <v>1679.97</v>
      </c>
      <c r="AB7" s="1" t="str">
        <f t="shared" si="18"/>
        <v>915.48</v>
      </c>
      <c r="AC7" s="1">
        <f t="shared" si="19"/>
        <v>4.1233481541097783</v>
      </c>
    </row>
    <row r="8" spans="1:29" ht="15.6" x14ac:dyDescent="0.25">
      <c r="A8" s="1">
        <v>7</v>
      </c>
      <c r="B8" s="1" t="s">
        <v>24</v>
      </c>
      <c r="C8" s="1" t="s">
        <v>144</v>
      </c>
      <c r="D8" s="1" t="s">
        <v>25</v>
      </c>
      <c r="E8" s="1" t="s">
        <v>145</v>
      </c>
      <c r="F8" s="1" t="s">
        <v>26</v>
      </c>
      <c r="G8" s="1" t="s">
        <v>146</v>
      </c>
      <c r="H8" s="1" t="s">
        <v>27</v>
      </c>
      <c r="I8" s="1" t="s">
        <v>147</v>
      </c>
      <c r="J8" s="1" t="str">
        <f t="shared" si="0"/>
        <v>649.07</v>
      </c>
      <c r="K8" s="1" t="str">
        <f t="shared" si="1"/>
        <v>1801.63</v>
      </c>
      <c r="L8" s="1" t="str">
        <f t="shared" si="2"/>
        <v>647.22</v>
      </c>
      <c r="M8" s="1" t="str">
        <f t="shared" si="3"/>
        <v>1804.12</v>
      </c>
      <c r="N8" s="1">
        <f t="shared" si="4"/>
        <v>3.102031592359916</v>
      </c>
      <c r="O8" s="1" t="str">
        <f t="shared" si="5"/>
        <v>672.50</v>
      </c>
      <c r="P8" s="1" t="str">
        <f t="shared" si="6"/>
        <v>1471.66</v>
      </c>
      <c r="Q8" s="1" t="str">
        <f t="shared" si="7"/>
        <v>668.05</v>
      </c>
      <c r="R8" s="1" t="str">
        <f t="shared" si="8"/>
        <v>1468.86</v>
      </c>
      <c r="S8" s="1">
        <f t="shared" si="9"/>
        <v>5.2576135270673348</v>
      </c>
      <c r="T8" s="1" t="str">
        <f t="shared" si="10"/>
        <v>906.17</v>
      </c>
      <c r="U8" s="1" t="str">
        <f t="shared" si="11"/>
        <v>1488.25</v>
      </c>
      <c r="V8" s="1" t="str">
        <f t="shared" si="12"/>
        <v>904.94</v>
      </c>
      <c r="W8" s="1" t="str">
        <f t="shared" si="13"/>
        <v>1483.58</v>
      </c>
      <c r="X8" s="1">
        <f t="shared" si="14"/>
        <v>4.8292649544211637</v>
      </c>
      <c r="Y8" s="1" t="str">
        <f t="shared" si="15"/>
        <v>882.74</v>
      </c>
      <c r="Z8" s="1" t="str">
        <f t="shared" si="16"/>
        <v>1818.22</v>
      </c>
      <c r="AA8" s="1" t="str">
        <f t="shared" si="17"/>
        <v>884.11</v>
      </c>
      <c r="AB8" s="1" t="str">
        <f t="shared" si="18"/>
        <v>1818.84</v>
      </c>
      <c r="AC8" s="1">
        <f t="shared" si="19"/>
        <v>1.5037619492459162</v>
      </c>
    </row>
    <row r="9" spans="1:29" ht="15.6" x14ac:dyDescent="0.25">
      <c r="A9" s="1">
        <v>8</v>
      </c>
      <c r="B9" s="1" t="s">
        <v>28</v>
      </c>
      <c r="C9" s="1" t="s">
        <v>148</v>
      </c>
      <c r="D9" s="1" t="s">
        <v>29</v>
      </c>
      <c r="E9" s="1" t="s">
        <v>149</v>
      </c>
      <c r="F9" s="1" t="s">
        <v>30</v>
      </c>
      <c r="G9" s="1" t="s">
        <v>150</v>
      </c>
      <c r="H9" s="1" t="s">
        <v>31</v>
      </c>
      <c r="I9" s="1" t="s">
        <v>151</v>
      </c>
      <c r="J9" s="1" t="str">
        <f t="shared" si="0"/>
        <v>1125.57</v>
      </c>
      <c r="K9" s="1" t="str">
        <f t="shared" si="1"/>
        <v>1567.00</v>
      </c>
      <c r="L9" s="1" t="str">
        <f t="shared" si="2"/>
        <v>1124.72</v>
      </c>
      <c r="M9" s="1" t="str">
        <f t="shared" si="3"/>
        <v>1571.76</v>
      </c>
      <c r="N9" s="1">
        <f t="shared" si="4"/>
        <v>4.8352973021314583</v>
      </c>
      <c r="O9" s="1" t="str">
        <f t="shared" si="5"/>
        <v>1211.62</v>
      </c>
      <c r="P9" s="1" t="str">
        <f t="shared" si="6"/>
        <v>1339.58</v>
      </c>
      <c r="Q9" s="1" t="str">
        <f t="shared" si="7"/>
        <v>1207.42</v>
      </c>
      <c r="R9" s="1" t="str">
        <f t="shared" si="8"/>
        <v>1341.66</v>
      </c>
      <c r="S9" s="1">
        <f t="shared" si="9"/>
        <v>4.6868326191575385</v>
      </c>
      <c r="T9" s="1" t="str">
        <f t="shared" si="10"/>
        <v>1534.90</v>
      </c>
      <c r="U9" s="1" t="str">
        <f t="shared" si="11"/>
        <v>1461.91</v>
      </c>
      <c r="V9" s="1" t="str">
        <f t="shared" si="12"/>
        <v>1533.69</v>
      </c>
      <c r="W9" s="1" t="str">
        <f t="shared" si="13"/>
        <v>1458.94</v>
      </c>
      <c r="X9" s="1">
        <f t="shared" si="14"/>
        <v>3.2070235421649542</v>
      </c>
      <c r="Y9" s="1" t="str">
        <f t="shared" si="15"/>
        <v>1448.85</v>
      </c>
      <c r="Z9" s="1" t="str">
        <f t="shared" si="16"/>
        <v>1689.32</v>
      </c>
      <c r="AA9" s="1" t="str">
        <f t="shared" si="17"/>
        <v>1450.98</v>
      </c>
      <c r="AB9" s="1" t="str">
        <f t="shared" si="18"/>
        <v>1689.04</v>
      </c>
      <c r="AC9" s="1">
        <f t="shared" si="19"/>
        <v>2.1483249288691062</v>
      </c>
    </row>
    <row r="10" spans="1:29" ht="15.6" x14ac:dyDescent="0.25">
      <c r="A10" s="1">
        <v>9</v>
      </c>
      <c r="B10" s="1" t="s">
        <v>32</v>
      </c>
      <c r="C10" s="1" t="s">
        <v>152</v>
      </c>
      <c r="D10" s="1" t="s">
        <v>33</v>
      </c>
      <c r="E10" s="1" t="s">
        <v>153</v>
      </c>
      <c r="F10" s="1" t="s">
        <v>34</v>
      </c>
      <c r="G10" s="1" t="s">
        <v>154</v>
      </c>
      <c r="H10" s="1" t="s">
        <v>35</v>
      </c>
      <c r="I10" s="1" t="s">
        <v>155</v>
      </c>
      <c r="J10" s="1" t="str">
        <f t="shared" si="0"/>
        <v>452.99</v>
      </c>
      <c r="K10" s="1" t="str">
        <f t="shared" si="1"/>
        <v>1281.18</v>
      </c>
      <c r="L10" s="1" t="str">
        <f t="shared" si="2"/>
        <v>441.94</v>
      </c>
      <c r="M10" s="1" t="str">
        <f t="shared" si="3"/>
        <v>1293.70</v>
      </c>
      <c r="N10" s="1">
        <f t="shared" si="4"/>
        <v>16.698889184613442</v>
      </c>
      <c r="O10" s="1" t="str">
        <f t="shared" si="5"/>
        <v>631.80</v>
      </c>
      <c r="P10" s="1" t="str">
        <f t="shared" si="6"/>
        <v>1005.67</v>
      </c>
      <c r="Q10" s="1" t="str">
        <f t="shared" si="7"/>
        <v>633.24</v>
      </c>
      <c r="R10" s="1" t="str">
        <f t="shared" si="8"/>
        <v>1001.31</v>
      </c>
      <c r="S10" s="1">
        <f t="shared" si="9"/>
        <v>4.5916445855488721</v>
      </c>
      <c r="T10" s="1" t="str">
        <f t="shared" si="10"/>
        <v>834.71</v>
      </c>
      <c r="U10" s="1" t="str">
        <f t="shared" si="11"/>
        <v>1137.36</v>
      </c>
      <c r="V10" s="1" t="str">
        <f t="shared" si="12"/>
        <v>837.15</v>
      </c>
      <c r="W10" s="1" t="str">
        <f t="shared" si="13"/>
        <v>1134.72</v>
      </c>
      <c r="X10" s="1">
        <f t="shared" si="14"/>
        <v>3.5948852554704773</v>
      </c>
      <c r="Y10" s="1" t="str">
        <f t="shared" si="15"/>
        <v>655.90</v>
      </c>
      <c r="Z10" s="1" t="str">
        <f t="shared" si="16"/>
        <v>1412.87</v>
      </c>
      <c r="AA10" s="1" t="str">
        <f t="shared" si="17"/>
        <v>645.85</v>
      </c>
      <c r="AB10" s="1" t="str">
        <f t="shared" si="18"/>
        <v>1427.11</v>
      </c>
      <c r="AC10" s="1">
        <f t="shared" si="19"/>
        <v>17.429288568383949</v>
      </c>
    </row>
    <row r="11" spans="1:29" ht="15.6" x14ac:dyDescent="0.25">
      <c r="A11" s="1">
        <v>10</v>
      </c>
      <c r="B11" s="1" t="s">
        <v>36</v>
      </c>
      <c r="C11" s="1" t="s">
        <v>156</v>
      </c>
      <c r="D11" s="1" t="s">
        <v>37</v>
      </c>
      <c r="E11" s="1" t="s">
        <v>157</v>
      </c>
      <c r="F11" s="1" t="s">
        <v>38</v>
      </c>
      <c r="G11" s="1" t="s">
        <v>158</v>
      </c>
      <c r="H11" s="1" t="s">
        <v>39</v>
      </c>
      <c r="I11" s="1" t="s">
        <v>159</v>
      </c>
      <c r="J11" s="1" t="str">
        <f t="shared" si="0"/>
        <v>818.78</v>
      </c>
      <c r="K11" s="1" t="str">
        <f t="shared" si="1"/>
        <v>1182.04</v>
      </c>
      <c r="L11" s="1" t="str">
        <f t="shared" si="2"/>
        <v>817.46</v>
      </c>
      <c r="M11" s="1" t="str">
        <f t="shared" si="3"/>
        <v>1184.38</v>
      </c>
      <c r="N11" s="1">
        <f t="shared" si="4"/>
        <v>2.6866335812686688</v>
      </c>
      <c r="O11" s="1" t="str">
        <f t="shared" si="5"/>
        <v>959.58</v>
      </c>
      <c r="P11" s="1" t="str">
        <f t="shared" si="6"/>
        <v>987.95</v>
      </c>
      <c r="Q11" s="1" t="str">
        <f t="shared" si="7"/>
        <v>957.44</v>
      </c>
      <c r="R11" s="1" t="str">
        <f t="shared" si="8"/>
        <v>987.08</v>
      </c>
      <c r="S11" s="1">
        <f t="shared" si="9"/>
        <v>2.3100865784640949</v>
      </c>
      <c r="T11" s="1" t="str">
        <f t="shared" si="10"/>
        <v>1230.95</v>
      </c>
      <c r="U11" s="1" t="str">
        <f t="shared" si="11"/>
        <v>1184.83</v>
      </c>
      <c r="V11" s="1" t="str">
        <f t="shared" si="12"/>
        <v>1230.94</v>
      </c>
      <c r="W11" s="1" t="str">
        <f t="shared" si="13"/>
        <v>1181.11</v>
      </c>
      <c r="X11" s="1">
        <f t="shared" si="14"/>
        <v>3.7200134408359604</v>
      </c>
      <c r="Y11" s="1" t="str">
        <f t="shared" si="15"/>
        <v>1090.14</v>
      </c>
      <c r="Z11" s="1" t="str">
        <f t="shared" si="16"/>
        <v>1378.91</v>
      </c>
      <c r="AA11" s="1" t="str">
        <f t="shared" si="17"/>
        <v>1090.96</v>
      </c>
      <c r="AB11" s="1" t="str">
        <f t="shared" si="18"/>
        <v>1378.41</v>
      </c>
      <c r="AC11" s="1">
        <f t="shared" si="19"/>
        <v>0.96041657628338317</v>
      </c>
    </row>
    <row r="12" spans="1:29" ht="15.6" x14ac:dyDescent="0.25">
      <c r="A12" s="1">
        <v>11</v>
      </c>
      <c r="B12" s="1" t="s">
        <v>40</v>
      </c>
      <c r="C12" s="1" t="s">
        <v>160</v>
      </c>
      <c r="D12" s="1" t="s">
        <v>41</v>
      </c>
      <c r="E12" s="1" t="s">
        <v>161</v>
      </c>
      <c r="F12" s="1" t="s">
        <v>42</v>
      </c>
      <c r="G12" s="1" t="s">
        <v>162</v>
      </c>
      <c r="H12" s="1" t="s">
        <v>43</v>
      </c>
      <c r="I12" s="1" t="s">
        <v>163</v>
      </c>
      <c r="J12" s="1" t="str">
        <f t="shared" si="0"/>
        <v>1359.71</v>
      </c>
      <c r="K12" s="1" t="str">
        <f t="shared" si="1"/>
        <v>1067.50</v>
      </c>
      <c r="L12" s="1" t="str">
        <f t="shared" si="2"/>
        <v>1357.26</v>
      </c>
      <c r="M12" s="1" t="str">
        <f t="shared" si="3"/>
        <v>1071.37</v>
      </c>
      <c r="N12" s="1">
        <f t="shared" si="4"/>
        <v>4.5803274992078213</v>
      </c>
      <c r="O12" s="1" t="str">
        <f t="shared" si="5"/>
        <v>1424.60</v>
      </c>
      <c r="P12" s="1" t="str">
        <f t="shared" si="6"/>
        <v>730.90</v>
      </c>
      <c r="Q12" s="1" t="str">
        <f t="shared" si="7"/>
        <v>1421.35</v>
      </c>
      <c r="R12" s="1" t="str">
        <f t="shared" si="8"/>
        <v>731.21</v>
      </c>
      <c r="S12" s="1">
        <f t="shared" si="9"/>
        <v>3.2647511390609907</v>
      </c>
      <c r="T12" s="1" t="str">
        <f t="shared" si="10"/>
        <v>1668.92</v>
      </c>
      <c r="U12" s="1" t="str">
        <f t="shared" si="11"/>
        <v>778.00</v>
      </c>
      <c r="V12" s="1" t="str">
        <f t="shared" si="12"/>
        <v>1669.81</v>
      </c>
      <c r="W12" s="1" t="str">
        <f t="shared" si="13"/>
        <v>778.02</v>
      </c>
      <c r="X12" s="1">
        <f t="shared" si="14"/>
        <v>0.89022469073811505</v>
      </c>
      <c r="Y12" s="1" t="str">
        <f t="shared" si="15"/>
        <v>1604.03</v>
      </c>
      <c r="Z12" s="1" t="str">
        <f t="shared" si="16"/>
        <v>1114.60</v>
      </c>
      <c r="AA12" s="1" t="str">
        <f t="shared" si="17"/>
        <v>1605.72</v>
      </c>
      <c r="AB12" s="1" t="str">
        <f t="shared" si="18"/>
        <v>1118.18</v>
      </c>
      <c r="AC12" s="1">
        <f t="shared" si="19"/>
        <v>3.9588508433636762</v>
      </c>
    </row>
    <row r="13" spans="1:29" ht="15.6" x14ac:dyDescent="0.25">
      <c r="A13" s="1">
        <v>12</v>
      </c>
      <c r="B13" s="1" t="s">
        <v>44</v>
      </c>
      <c r="C13" s="1" t="s">
        <v>164</v>
      </c>
      <c r="D13" s="1" t="s">
        <v>45</v>
      </c>
      <c r="E13" s="1" t="s">
        <v>165</v>
      </c>
      <c r="F13" s="1" t="s">
        <v>46</v>
      </c>
      <c r="G13" s="1" t="s">
        <v>166</v>
      </c>
      <c r="H13" s="1" t="s">
        <v>47</v>
      </c>
      <c r="I13" s="1" t="s">
        <v>167</v>
      </c>
      <c r="J13" s="1" t="str">
        <f t="shared" si="0"/>
        <v>862.82</v>
      </c>
      <c r="K13" s="1" t="str">
        <f t="shared" si="1"/>
        <v>744.62</v>
      </c>
      <c r="L13" s="1" t="str">
        <f t="shared" si="2"/>
        <v>858.58</v>
      </c>
      <c r="M13" s="1" t="str">
        <f t="shared" si="3"/>
        <v>741.14</v>
      </c>
      <c r="N13" s="1">
        <f t="shared" si="4"/>
        <v>5.48525295679244</v>
      </c>
      <c r="O13" s="1" t="str">
        <f t="shared" si="5"/>
        <v>910.77</v>
      </c>
      <c r="P13" s="1" t="str">
        <f t="shared" si="6"/>
        <v>507.27</v>
      </c>
      <c r="Q13" s="1" t="str">
        <f t="shared" si="7"/>
        <v>906.71</v>
      </c>
      <c r="R13" s="1" t="str">
        <f t="shared" si="8"/>
        <v>506.34</v>
      </c>
      <c r="S13" s="1">
        <f t="shared" si="9"/>
        <v>4.1651530584120877</v>
      </c>
      <c r="T13" s="1" t="str">
        <f t="shared" si="10"/>
        <v>1238.17</v>
      </c>
      <c r="U13" s="1" t="str">
        <f t="shared" si="11"/>
        <v>573.41</v>
      </c>
      <c r="V13" s="1" t="str">
        <f t="shared" si="12"/>
        <v xml:space="preserve">1239.34 </v>
      </c>
      <c r="W13" s="1" t="str">
        <f t="shared" si="13"/>
        <v>574.52</v>
      </c>
      <c r="X13" s="1">
        <f t="shared" si="14"/>
        <v>1.6127616066857708</v>
      </c>
      <c r="Y13" s="1" t="str">
        <f t="shared" si="15"/>
        <v>1190.22</v>
      </c>
      <c r="Z13" s="1" t="str">
        <f t="shared" si="16"/>
        <v>810.76</v>
      </c>
      <c r="AA13" s="1" t="str">
        <f t="shared" si="17"/>
        <v>1191.21</v>
      </c>
      <c r="AB13" s="1" t="str">
        <f t="shared" si="18"/>
        <v>809.32</v>
      </c>
      <c r="AC13" s="1">
        <f t="shared" si="19"/>
        <v>1.7474839055052402</v>
      </c>
    </row>
    <row r="14" spans="1:29" ht="15.6" x14ac:dyDescent="0.25">
      <c r="A14" s="1">
        <v>13</v>
      </c>
      <c r="B14" s="1" t="s">
        <v>48</v>
      </c>
      <c r="C14" s="1" t="s">
        <v>168</v>
      </c>
      <c r="D14" s="1" t="s">
        <v>49</v>
      </c>
      <c r="E14" s="1" t="s">
        <v>169</v>
      </c>
      <c r="F14" s="1" t="s">
        <v>50</v>
      </c>
      <c r="G14" s="1" t="s">
        <v>170</v>
      </c>
      <c r="H14" s="1" t="s">
        <v>51</v>
      </c>
      <c r="I14" s="1" t="s">
        <v>171</v>
      </c>
      <c r="J14" s="1" t="str">
        <f t="shared" si="0"/>
        <v>1001.92</v>
      </c>
      <c r="K14" s="1" t="str">
        <f t="shared" si="1"/>
        <v>1686.14</v>
      </c>
      <c r="L14" s="1" t="str">
        <f t="shared" si="2"/>
        <v>1004.69</v>
      </c>
      <c r="M14" s="1" t="str">
        <f t="shared" si="3"/>
        <v>1687.14</v>
      </c>
      <c r="N14" s="1">
        <f t="shared" si="4"/>
        <v>2.9449787775127563</v>
      </c>
      <c r="O14" s="1" t="str">
        <f t="shared" si="5"/>
        <v>1313.64</v>
      </c>
      <c r="P14" s="1" t="str">
        <f t="shared" si="6"/>
        <v>1575.30</v>
      </c>
      <c r="Q14" s="1" t="str">
        <f t="shared" si="7"/>
        <v>1315.85</v>
      </c>
      <c r="R14" s="1" t="str">
        <f t="shared" si="8"/>
        <v>1577.44</v>
      </c>
      <c r="S14" s="1">
        <f t="shared" si="9"/>
        <v>3.0763127279260125</v>
      </c>
      <c r="T14" s="1" t="str">
        <f t="shared" si="10"/>
        <v>1392.53</v>
      </c>
      <c r="U14" s="1" t="str">
        <f t="shared" si="11"/>
        <v>1797.19</v>
      </c>
      <c r="V14" s="1" t="str">
        <f t="shared" si="12"/>
        <v>1394.09</v>
      </c>
      <c r="W14" s="1" t="str">
        <f t="shared" si="13"/>
        <v>1799.35</v>
      </c>
      <c r="X14" s="1">
        <f t="shared" si="14"/>
        <v>2.6644323973407924</v>
      </c>
      <c r="Y14" s="1" t="str">
        <f t="shared" si="15"/>
        <v>1080.81</v>
      </c>
      <c r="Z14" s="1" t="str">
        <f t="shared" si="16"/>
        <v>1908.02</v>
      </c>
      <c r="AA14" s="1" t="str">
        <f t="shared" si="17"/>
        <v>1082.93</v>
      </c>
      <c r="AB14" s="1" t="str">
        <f t="shared" si="18"/>
        <v>1909.06</v>
      </c>
      <c r="AC14" s="1">
        <f t="shared" si="19"/>
        <v>2.361355542903361</v>
      </c>
    </row>
    <row r="15" spans="1:29" ht="15.6" x14ac:dyDescent="0.25">
      <c r="A15" s="1">
        <v>14</v>
      </c>
      <c r="B15" s="1" t="s">
        <v>52</v>
      </c>
      <c r="C15" s="1" t="s">
        <v>172</v>
      </c>
      <c r="D15" s="1" t="s">
        <v>53</v>
      </c>
      <c r="E15" s="1" t="s">
        <v>173</v>
      </c>
      <c r="F15" s="1" t="s">
        <v>54</v>
      </c>
      <c r="G15" s="1" t="s">
        <v>174</v>
      </c>
      <c r="H15" s="1" t="s">
        <v>55</v>
      </c>
      <c r="I15" s="1" t="s">
        <v>175</v>
      </c>
      <c r="J15" s="1" t="str">
        <f t="shared" si="0"/>
        <v>1566.38</v>
      </c>
      <c r="K15" s="1" t="str">
        <f t="shared" si="1"/>
        <v>1588.94</v>
      </c>
      <c r="L15" s="1" t="str">
        <f t="shared" si="2"/>
        <v>1565.09</v>
      </c>
      <c r="M15" s="1" t="str">
        <f t="shared" si="3"/>
        <v>1596.42</v>
      </c>
      <c r="N15" s="1">
        <f t="shared" si="4"/>
        <v>7.5904215956691603</v>
      </c>
      <c r="O15" s="1" t="str">
        <f t="shared" si="5"/>
        <v>1882.00</v>
      </c>
      <c r="P15" s="1" t="str">
        <f t="shared" si="6"/>
        <v>1475.32</v>
      </c>
      <c r="Q15" s="1" t="str">
        <f t="shared" si="7"/>
        <v>1875.98</v>
      </c>
      <c r="R15" s="1" t="str">
        <f t="shared" si="8"/>
        <v>1472.48</v>
      </c>
      <c r="S15" s="1">
        <f t="shared" si="9"/>
        <v>6.6562752346938989</v>
      </c>
      <c r="T15" s="1" t="str">
        <f t="shared" si="10"/>
        <v>1961.45</v>
      </c>
      <c r="U15" s="1" t="str">
        <f t="shared" si="11"/>
        <v>1696.04</v>
      </c>
      <c r="V15" s="1" t="str">
        <f t="shared" si="12"/>
        <v>1964.22</v>
      </c>
      <c r="W15" s="1" t="str">
        <f t="shared" si="13"/>
        <v>1693.84</v>
      </c>
      <c r="X15" s="1">
        <f t="shared" si="14"/>
        <v>3.5373577709923687</v>
      </c>
      <c r="Y15" s="1" t="str">
        <f t="shared" si="15"/>
        <v>1645.84</v>
      </c>
      <c r="Z15" s="1" t="str">
        <f t="shared" si="16"/>
        <v>1809.66</v>
      </c>
      <c r="AA15" s="1" t="str">
        <f t="shared" si="17"/>
        <v>1653.34</v>
      </c>
      <c r="AB15" s="1" t="str">
        <f t="shared" si="18"/>
        <v>1817.78</v>
      </c>
      <c r="AC15" s="1">
        <f t="shared" si="19"/>
        <v>11.053705261132949</v>
      </c>
    </row>
    <row r="16" spans="1:29" ht="15.6" x14ac:dyDescent="0.25">
      <c r="A16" s="1">
        <v>15</v>
      </c>
      <c r="B16" s="1" t="s">
        <v>56</v>
      </c>
      <c r="C16" s="1" t="s">
        <v>176</v>
      </c>
      <c r="D16" s="1" t="s">
        <v>57</v>
      </c>
      <c r="E16" s="1" t="s">
        <v>177</v>
      </c>
      <c r="F16" s="1" t="s">
        <v>58</v>
      </c>
      <c r="G16" s="1" t="s">
        <v>178</v>
      </c>
      <c r="H16" s="1" t="s">
        <v>59</v>
      </c>
      <c r="I16" s="1" t="s">
        <v>179</v>
      </c>
      <c r="J16" s="1" t="str">
        <f t="shared" si="0"/>
        <v>1292.84</v>
      </c>
      <c r="K16" s="1" t="str">
        <f t="shared" si="1"/>
        <v>1398.56</v>
      </c>
      <c r="L16" s="1" t="str">
        <f t="shared" si="2"/>
        <v>1294.26</v>
      </c>
      <c r="M16" s="1" t="str">
        <f t="shared" si="3"/>
        <v>1397.46</v>
      </c>
      <c r="N16" s="1">
        <f t="shared" si="4"/>
        <v>1.7962182495454182</v>
      </c>
      <c r="O16" s="1" t="str">
        <f t="shared" si="5"/>
        <v>1435.21</v>
      </c>
      <c r="P16" s="1" t="str">
        <f t="shared" si="6"/>
        <v>1212.61</v>
      </c>
      <c r="Q16" s="1" t="str">
        <f t="shared" si="7"/>
        <v>1435.99</v>
      </c>
      <c r="R16" s="1" t="str">
        <f t="shared" si="8"/>
        <v>1213.00</v>
      </c>
      <c r="S16" s="1">
        <f t="shared" si="9"/>
        <v>0.87206651122493828</v>
      </c>
      <c r="T16" s="1" t="str">
        <f t="shared" si="10"/>
        <v>1698.70</v>
      </c>
      <c r="U16" s="1" t="str">
        <f t="shared" si="11"/>
        <v>1414.35</v>
      </c>
      <c r="V16" s="1" t="str">
        <f t="shared" si="12"/>
        <v>1699.25</v>
      </c>
      <c r="W16" s="1" t="str">
        <f t="shared" si="13"/>
        <v>1415.27</v>
      </c>
      <c r="X16" s="1">
        <f t="shared" si="14"/>
        <v>1.0718675291285225</v>
      </c>
      <c r="Y16" s="1" t="str">
        <f t="shared" si="15"/>
        <v>1556.33</v>
      </c>
      <c r="Z16" s="1" t="str">
        <f t="shared" si="16"/>
        <v>1600.30</v>
      </c>
      <c r="AA16" s="1" t="str">
        <f t="shared" si="17"/>
        <v>1557.51</v>
      </c>
      <c r="AB16" s="1" t="str">
        <f t="shared" si="18"/>
        <v>1599.74</v>
      </c>
      <c r="AC16" s="1">
        <f t="shared" si="19"/>
        <v>1.3061393493804898</v>
      </c>
    </row>
    <row r="17" spans="1:29" ht="15.6" x14ac:dyDescent="0.25">
      <c r="A17" s="1">
        <v>16</v>
      </c>
      <c r="B17" s="1" t="s">
        <v>60</v>
      </c>
      <c r="C17" s="1" t="s">
        <v>180</v>
      </c>
      <c r="D17" s="1" t="s">
        <v>61</v>
      </c>
      <c r="E17" s="1" t="s">
        <v>181</v>
      </c>
      <c r="F17" s="1" t="s">
        <v>62</v>
      </c>
      <c r="G17" s="1" t="s">
        <v>182</v>
      </c>
      <c r="H17" s="1" t="s">
        <v>63</v>
      </c>
      <c r="I17" s="1" t="s">
        <v>183</v>
      </c>
      <c r="J17" s="1" t="str">
        <f t="shared" si="0"/>
        <v>502.09</v>
      </c>
      <c r="K17" s="1" t="str">
        <f t="shared" si="1"/>
        <v>1512.34</v>
      </c>
      <c r="L17" s="1" t="str">
        <f t="shared" si="2"/>
        <v>499.85</v>
      </c>
      <c r="M17" s="1" t="str">
        <f t="shared" si="3"/>
        <v>1511.60</v>
      </c>
      <c r="N17" s="1">
        <f t="shared" si="4"/>
        <v>2.3590676124265282</v>
      </c>
      <c r="O17" s="1" t="str">
        <f t="shared" si="5"/>
        <v>663.86</v>
      </c>
      <c r="P17" s="1" t="str">
        <f t="shared" si="6"/>
        <v>1205.20</v>
      </c>
      <c r="Q17" s="1" t="str">
        <f t="shared" si="7"/>
        <v>659.60</v>
      </c>
      <c r="R17" s="1" t="str">
        <f t="shared" si="8"/>
        <v>1204.39</v>
      </c>
      <c r="S17" s="1">
        <f t="shared" si="9"/>
        <v>4.3363233274284143</v>
      </c>
      <c r="T17" s="1" t="str">
        <f t="shared" si="10"/>
        <v>873.95</v>
      </c>
      <c r="U17" s="1" t="str">
        <f t="shared" si="11"/>
        <v>1315.86</v>
      </c>
      <c r="V17" s="1" t="str">
        <f t="shared" si="12"/>
        <v>874.14</v>
      </c>
      <c r="W17" s="1" t="str">
        <f t="shared" si="13"/>
        <v>1315.95</v>
      </c>
      <c r="X17" s="1">
        <f t="shared" si="14"/>
        <v>0.21023796041629528</v>
      </c>
      <c r="Y17" s="1" t="str">
        <f t="shared" si="15"/>
        <v>712.17</v>
      </c>
      <c r="Z17" s="1" t="str">
        <f t="shared" si="16"/>
        <v>1622.99</v>
      </c>
      <c r="AA17" s="1" t="str">
        <f t="shared" si="17"/>
        <v>714.39</v>
      </c>
      <c r="AB17" s="1" t="str">
        <f t="shared" si="18"/>
        <v>1623.16</v>
      </c>
      <c r="AC17" s="1">
        <f t="shared" si="19"/>
        <v>2.2264994947226344</v>
      </c>
    </row>
    <row r="18" spans="1:29" ht="15.6" x14ac:dyDescent="0.25">
      <c r="A18" s="1">
        <v>17</v>
      </c>
      <c r="B18" s="1" t="s">
        <v>64</v>
      </c>
      <c r="C18" s="1" t="s">
        <v>184</v>
      </c>
      <c r="D18" s="1" t="s">
        <v>65</v>
      </c>
      <c r="E18" s="1" t="s">
        <v>185</v>
      </c>
      <c r="F18" s="1" t="s">
        <v>66</v>
      </c>
      <c r="G18" s="1" t="s">
        <v>186</v>
      </c>
      <c r="H18" s="1" t="s">
        <v>67</v>
      </c>
      <c r="I18" s="1" t="s">
        <v>187</v>
      </c>
      <c r="J18" s="1" t="str">
        <f t="shared" si="0"/>
        <v>868.74</v>
      </c>
      <c r="K18" s="1" t="str">
        <f t="shared" si="1"/>
        <v>1337.37</v>
      </c>
      <c r="L18" s="1" t="str">
        <f t="shared" si="2"/>
        <v>871.32</v>
      </c>
      <c r="M18" s="1" t="str">
        <f t="shared" si="3"/>
        <v>1337.80</v>
      </c>
      <c r="N18" s="1">
        <f t="shared" si="4"/>
        <v>2.6155878880282852</v>
      </c>
      <c r="O18" s="1" t="str">
        <f t="shared" si="5"/>
        <v>998.04</v>
      </c>
      <c r="P18" s="1" t="str">
        <f t="shared" si="6"/>
        <v>1132.88</v>
      </c>
      <c r="Q18" s="1" t="str">
        <f t="shared" si="7"/>
        <v>999.19</v>
      </c>
      <c r="R18" s="1" t="str">
        <f t="shared" si="8"/>
        <v>1135.23</v>
      </c>
      <c r="S18" s="1">
        <f t="shared" si="9"/>
        <v>2.6162950903901843</v>
      </c>
      <c r="T18" s="1" t="str">
        <f t="shared" si="10"/>
        <v>1278.41</v>
      </c>
      <c r="U18" s="1" t="str">
        <f t="shared" si="11"/>
        <v>1310.15</v>
      </c>
      <c r="V18" s="1" t="str">
        <f t="shared" si="12"/>
        <v>1279.75</v>
      </c>
      <c r="W18" s="1" t="str">
        <f t="shared" si="13"/>
        <v>1312.34</v>
      </c>
      <c r="X18" s="1">
        <f t="shared" si="14"/>
        <v>2.5674306222367576</v>
      </c>
      <c r="Y18" s="1" t="str">
        <f t="shared" si="15"/>
        <v>1149.12</v>
      </c>
      <c r="Z18" s="1" t="str">
        <f t="shared" si="16"/>
        <v>1514.64</v>
      </c>
      <c r="AA18" s="1" t="str">
        <f t="shared" si="17"/>
        <v>1151.88</v>
      </c>
      <c r="AB18" s="1" t="str">
        <f t="shared" si="18"/>
        <v>1514.90</v>
      </c>
      <c r="AC18" s="1">
        <f t="shared" si="19"/>
        <v>2.7722193275426821</v>
      </c>
    </row>
    <row r="19" spans="1:29" ht="15.6" x14ac:dyDescent="0.25">
      <c r="A19" s="1">
        <v>18</v>
      </c>
      <c r="B19" s="1" t="s">
        <v>68</v>
      </c>
      <c r="C19" s="1" t="s">
        <v>188</v>
      </c>
      <c r="D19" s="1" t="s">
        <v>69</v>
      </c>
      <c r="E19" s="1" t="s">
        <v>189</v>
      </c>
      <c r="F19" s="1" t="s">
        <v>70</v>
      </c>
      <c r="G19" s="1" t="s">
        <v>190</v>
      </c>
      <c r="H19" s="1" t="s">
        <v>71</v>
      </c>
      <c r="I19" s="1" t="s">
        <v>191</v>
      </c>
      <c r="J19" s="1" t="str">
        <f t="shared" si="0"/>
        <v>1495.03</v>
      </c>
      <c r="K19" s="1" t="str">
        <f t="shared" si="1"/>
        <v>1136.45</v>
      </c>
      <c r="L19" s="1" t="str">
        <f t="shared" si="2"/>
        <v>1495.97</v>
      </c>
      <c r="M19" s="1" t="str">
        <f t="shared" si="3"/>
        <v>1140.56</v>
      </c>
      <c r="N19" s="1">
        <f t="shared" si="4"/>
        <v>4.2161238122236497</v>
      </c>
      <c r="O19" s="1" t="str">
        <f t="shared" si="5"/>
        <v>1666.35</v>
      </c>
      <c r="P19" s="1" t="str">
        <f t="shared" si="6"/>
        <v>847.59</v>
      </c>
      <c r="Q19" s="1" t="str">
        <f t="shared" si="7"/>
        <v>1668.55</v>
      </c>
      <c r="R19" s="1" t="str">
        <f t="shared" si="8"/>
        <v>849.24</v>
      </c>
      <c r="S19" s="1">
        <f t="shared" si="9"/>
        <v>2.7500000000000226</v>
      </c>
      <c r="T19" s="1" t="str">
        <f t="shared" si="10"/>
        <v>1876.38</v>
      </c>
      <c r="U19" s="1" t="str">
        <f t="shared" si="11"/>
        <v>972.17</v>
      </c>
      <c r="V19" s="1" t="str">
        <f t="shared" si="12"/>
        <v>1875.22</v>
      </c>
      <c r="W19" s="1" t="str">
        <f t="shared" si="13"/>
        <v>971.67</v>
      </c>
      <c r="X19" s="1">
        <f t="shared" si="14"/>
        <v>1.2631706139711254</v>
      </c>
      <c r="Y19" s="1" t="str">
        <f t="shared" si="15"/>
        <v>1705.06</v>
      </c>
      <c r="Z19" s="1" t="str">
        <f t="shared" si="16"/>
        <v>1261.02</v>
      </c>
      <c r="AA19" s="1" t="str">
        <f t="shared" si="17"/>
        <v>1702.65</v>
      </c>
      <c r="AB19" s="1" t="str">
        <f t="shared" si="18"/>
        <v>1262.99</v>
      </c>
      <c r="AC19" s="1">
        <f t="shared" si="19"/>
        <v>3.1127158559687724</v>
      </c>
    </row>
    <row r="20" spans="1:29" ht="15.6" x14ac:dyDescent="0.25">
      <c r="A20" s="1">
        <v>19</v>
      </c>
      <c r="B20" s="1" t="s">
        <v>72</v>
      </c>
      <c r="C20" s="1" t="s">
        <v>192</v>
      </c>
      <c r="D20" s="1" t="s">
        <v>73</v>
      </c>
      <c r="E20" s="1" t="s">
        <v>193</v>
      </c>
      <c r="F20" s="1" t="s">
        <v>74</v>
      </c>
      <c r="G20" s="1" t="s">
        <v>194</v>
      </c>
      <c r="H20" s="1" t="s">
        <v>75</v>
      </c>
      <c r="I20" s="1" t="s">
        <v>195</v>
      </c>
      <c r="J20" s="1" t="str">
        <f t="shared" si="0"/>
        <v>956.07</v>
      </c>
      <c r="K20" s="1" t="str">
        <f t="shared" si="1"/>
        <v>834.82</v>
      </c>
      <c r="L20" s="1" t="str">
        <f t="shared" si="2"/>
        <v>955.72</v>
      </c>
      <c r="M20" s="1" t="str">
        <f t="shared" si="3"/>
        <v>838.78</v>
      </c>
      <c r="N20" s="1">
        <f t="shared" si="4"/>
        <v>3.975437082887793</v>
      </c>
      <c r="O20" s="1" t="str">
        <f t="shared" si="5"/>
        <v>1234.44</v>
      </c>
      <c r="P20" s="1" t="str">
        <f t="shared" si="6"/>
        <v>651.83</v>
      </c>
      <c r="Q20" s="1" t="str">
        <f t="shared" si="7"/>
        <v>1232.10</v>
      </c>
      <c r="R20" s="1" t="str">
        <f t="shared" si="8"/>
        <v>648.96</v>
      </c>
      <c r="S20" s="1">
        <f t="shared" si="9"/>
        <v>3.7030392922572006</v>
      </c>
      <c r="T20" s="1" t="str">
        <f t="shared" si="10"/>
        <v>1364.75</v>
      </c>
      <c r="U20" s="1" t="str">
        <f t="shared" si="11"/>
        <v>850.07</v>
      </c>
      <c r="V20" s="1" t="str">
        <f t="shared" si="12"/>
        <v>1367.42</v>
      </c>
      <c r="W20" s="1" t="str">
        <f t="shared" si="13"/>
        <v>845.99</v>
      </c>
      <c r="X20" s="1">
        <f t="shared" si="14"/>
        <v>4.8759922067206718</v>
      </c>
      <c r="Y20" s="1" t="str">
        <f t="shared" si="15"/>
        <v>1086.37</v>
      </c>
      <c r="Z20" s="1" t="str">
        <f t="shared" si="16"/>
        <v>1033.06</v>
      </c>
      <c r="AA20" s="1" t="str">
        <f t="shared" si="17"/>
        <v>1091.05</v>
      </c>
      <c r="AB20" s="1" t="str">
        <f t="shared" si="18"/>
        <v>1035.81</v>
      </c>
      <c r="AC20" s="1">
        <f t="shared" si="19"/>
        <v>5.4281580669689973</v>
      </c>
    </row>
    <row r="21" spans="1:29" ht="15.6" x14ac:dyDescent="0.25">
      <c r="A21" s="1">
        <v>20</v>
      </c>
      <c r="B21" s="1" t="s">
        <v>76</v>
      </c>
      <c r="C21" s="1" t="s">
        <v>196</v>
      </c>
      <c r="D21" s="1" t="s">
        <v>77</v>
      </c>
      <c r="E21" s="1" t="s">
        <v>197</v>
      </c>
      <c r="F21" s="1" t="s">
        <v>78</v>
      </c>
      <c r="G21" s="1" t="s">
        <v>198</v>
      </c>
      <c r="H21" s="1" t="s">
        <v>79</v>
      </c>
      <c r="I21" s="1" t="s">
        <v>199</v>
      </c>
      <c r="J21" s="1" t="str">
        <f t="shared" si="0"/>
        <v>1323.63</v>
      </c>
      <c r="K21" s="1" t="str">
        <f t="shared" si="1"/>
        <v>604.90</v>
      </c>
      <c r="L21" s="1" t="str">
        <f t="shared" si="2"/>
        <v>1322.96</v>
      </c>
      <c r="M21" s="1" t="str">
        <f t="shared" si="3"/>
        <v>604.18</v>
      </c>
      <c r="N21" s="1">
        <f t="shared" si="4"/>
        <v>0.98351410767722947</v>
      </c>
      <c r="O21" s="1" t="str">
        <f t="shared" si="5"/>
        <v>1426.58</v>
      </c>
      <c r="P21" s="1" t="str">
        <f t="shared" si="6"/>
        <v>390.14</v>
      </c>
      <c r="Q21" s="1" t="str">
        <f t="shared" si="7"/>
        <v>1426.10</v>
      </c>
      <c r="R21" s="1" t="str">
        <f t="shared" si="8"/>
        <v>389.61</v>
      </c>
      <c r="S21" s="1">
        <f t="shared" si="9"/>
        <v>0.71505244562898218</v>
      </c>
      <c r="T21" s="1" t="str">
        <f t="shared" si="10"/>
        <v>1729.36</v>
      </c>
      <c r="U21" s="1" t="str">
        <f t="shared" si="11"/>
        <v>535.29</v>
      </c>
      <c r="V21" s="1" t="str">
        <f t="shared" si="12"/>
        <v>1731.83</v>
      </c>
      <c r="W21" s="1" t="str">
        <f t="shared" si="13"/>
        <v>536.57</v>
      </c>
      <c r="X21" s="1">
        <f t="shared" si="14"/>
        <v>2.7819597409021499</v>
      </c>
      <c r="Y21" s="1" t="str">
        <f t="shared" si="15"/>
        <v>1626.41</v>
      </c>
      <c r="Z21" s="1" t="str">
        <f t="shared" si="16"/>
        <v>750.04</v>
      </c>
      <c r="AA21" s="1" t="str">
        <f t="shared" si="17"/>
        <v>1628.70</v>
      </c>
      <c r="AB21" s="1" t="str">
        <f t="shared" si="18"/>
        <v>751.14</v>
      </c>
      <c r="AC21" s="1">
        <f t="shared" si="19"/>
        <v>2.5404920783186635</v>
      </c>
    </row>
    <row r="22" spans="1:29" ht="15.6" x14ac:dyDescent="0.25">
      <c r="A22" s="1">
        <v>21</v>
      </c>
      <c r="B22" s="1" t="s">
        <v>80</v>
      </c>
      <c r="C22" s="1" t="s">
        <v>200</v>
      </c>
      <c r="D22" s="1" t="s">
        <v>81</v>
      </c>
      <c r="E22" s="1" t="s">
        <v>201</v>
      </c>
      <c r="F22" s="1" t="s">
        <v>82</v>
      </c>
      <c r="G22" s="1" t="s">
        <v>202</v>
      </c>
      <c r="H22" s="1" t="s">
        <v>83</v>
      </c>
      <c r="I22" s="1" t="s">
        <v>203</v>
      </c>
      <c r="J22" s="1" t="str">
        <f t="shared" si="0"/>
        <v>886.07</v>
      </c>
      <c r="K22" s="1" t="str">
        <f t="shared" si="1"/>
        <v>1767.40</v>
      </c>
      <c r="L22" s="1" t="str">
        <f t="shared" si="2"/>
        <v>888.11</v>
      </c>
      <c r="M22" s="1" t="str">
        <f t="shared" si="3"/>
        <v>1765.60</v>
      </c>
      <c r="N22" s="1">
        <f t="shared" si="4"/>
        <v>2.720588171701205</v>
      </c>
      <c r="O22" s="1" t="str">
        <f t="shared" si="5"/>
        <v>1208.95</v>
      </c>
      <c r="P22" s="1" t="str">
        <f t="shared" si="6"/>
        <v>1640.96</v>
      </c>
      <c r="Q22" s="1" t="str">
        <f t="shared" si="7"/>
        <v>1212.67</v>
      </c>
      <c r="R22" s="1" t="str">
        <f t="shared" si="8"/>
        <v>1639.89</v>
      </c>
      <c r="S22" s="1">
        <f t="shared" si="9"/>
        <v>3.8708267850680254</v>
      </c>
      <c r="T22" s="1" t="str">
        <f t="shared" si="10"/>
        <v>1294.90</v>
      </c>
      <c r="U22" s="1" t="str">
        <f t="shared" si="11"/>
        <v>1860.41</v>
      </c>
      <c r="V22" s="1" t="str">
        <f t="shared" si="12"/>
        <v>1298.26</v>
      </c>
      <c r="W22" s="1" t="str">
        <f t="shared" si="13"/>
        <v>1860.85</v>
      </c>
      <c r="X22" s="1">
        <f t="shared" si="14"/>
        <v>3.3886870613851574</v>
      </c>
      <c r="Y22" s="1" t="str">
        <f t="shared" si="15"/>
        <v>972.01</v>
      </c>
      <c r="Z22" s="1" t="str">
        <f t="shared" si="16"/>
        <v>1986.86</v>
      </c>
      <c r="AA22" s="1" t="str">
        <f t="shared" si="17"/>
        <v>973.69</v>
      </c>
      <c r="AB22" s="1" t="str">
        <f t="shared" si="18"/>
        <v>1986.56</v>
      </c>
      <c r="AC22" s="1">
        <f t="shared" si="19"/>
        <v>1.7065755183994018</v>
      </c>
    </row>
    <row r="23" spans="1:29" ht="15.6" x14ac:dyDescent="0.25">
      <c r="A23" s="1">
        <v>22</v>
      </c>
      <c r="B23" s="1" t="s">
        <v>84</v>
      </c>
      <c r="C23" s="1" t="s">
        <v>204</v>
      </c>
      <c r="D23" s="1" t="s">
        <v>85</v>
      </c>
      <c r="E23" s="1" t="s">
        <v>205</v>
      </c>
      <c r="F23" s="1" t="s">
        <v>86</v>
      </c>
      <c r="G23" s="1" t="s">
        <v>206</v>
      </c>
      <c r="H23" s="1" t="s">
        <v>87</v>
      </c>
      <c r="I23" s="1" t="s">
        <v>207</v>
      </c>
      <c r="J23" s="1" t="str">
        <f t="shared" si="0"/>
        <v>1272.22</v>
      </c>
      <c r="K23" s="1" t="str">
        <f t="shared" si="1"/>
        <v>1877.30</v>
      </c>
      <c r="L23" s="1" t="str">
        <f t="shared" si="2"/>
        <v>1274.78</v>
      </c>
      <c r="M23" s="1" t="str">
        <f t="shared" si="3"/>
        <v>1880.22</v>
      </c>
      <c r="N23" s="1">
        <f t="shared" si="4"/>
        <v>3.8832975677895387</v>
      </c>
      <c r="O23" s="1" t="str">
        <f t="shared" si="5"/>
        <v>1447.11</v>
      </c>
      <c r="P23" s="1" t="str">
        <f t="shared" si="6"/>
        <v>1596.76</v>
      </c>
      <c r="Q23" s="1" t="str">
        <f t="shared" si="7"/>
        <v>1445.18</v>
      </c>
      <c r="R23" s="1" t="str">
        <f t="shared" si="8"/>
        <v>1597.61</v>
      </c>
      <c r="S23" s="1">
        <f t="shared" si="9"/>
        <v>2.1088859618289493</v>
      </c>
      <c r="T23" s="1" t="str">
        <f t="shared" si="10"/>
        <v>1646.50</v>
      </c>
      <c r="U23" s="1" t="str">
        <f t="shared" si="11"/>
        <v>1721.05</v>
      </c>
      <c r="V23" s="1" t="str">
        <f t="shared" si="12"/>
        <v>1647.40</v>
      </c>
      <c r="W23" s="1" t="str">
        <f t="shared" si="13"/>
        <v>1719.53</v>
      </c>
      <c r="X23" s="1">
        <f t="shared" si="14"/>
        <v>1.7664653973401541</v>
      </c>
      <c r="Y23" s="1" t="str">
        <f t="shared" si="15"/>
        <v>1471.62</v>
      </c>
      <c r="Z23" s="1" t="str">
        <f t="shared" si="16"/>
        <v>2001.59</v>
      </c>
      <c r="AA23" s="1" t="str">
        <f t="shared" si="17"/>
        <v>1477.00</v>
      </c>
      <c r="AB23" s="1" t="str">
        <f t="shared" si="18"/>
        <v>2002.15</v>
      </c>
      <c r="AC23" s="1">
        <f t="shared" si="19"/>
        <v>5.4090664628937004</v>
      </c>
    </row>
    <row r="24" spans="1:29" ht="15.6" x14ac:dyDescent="0.25">
      <c r="A24" s="1">
        <v>23</v>
      </c>
      <c r="B24" s="1" t="s">
        <v>88</v>
      </c>
      <c r="C24" s="1" t="s">
        <v>208</v>
      </c>
      <c r="D24" s="1" t="s">
        <v>89</v>
      </c>
      <c r="E24" s="1" t="s">
        <v>209</v>
      </c>
      <c r="F24" s="1" t="s">
        <v>90</v>
      </c>
      <c r="G24" s="1" t="s">
        <v>210</v>
      </c>
      <c r="H24" s="1" t="s">
        <v>91</v>
      </c>
      <c r="I24" s="1" t="s">
        <v>211</v>
      </c>
      <c r="J24" s="1" t="str">
        <f t="shared" si="0"/>
        <v>1607.42</v>
      </c>
      <c r="K24" s="1" t="str">
        <f t="shared" si="1"/>
        <v>1698.43</v>
      </c>
      <c r="L24" s="1" t="str">
        <f t="shared" si="2"/>
        <v>1609.71</v>
      </c>
      <c r="M24" s="1" t="str">
        <f t="shared" si="3"/>
        <v>1699.91</v>
      </c>
      <c r="N24" s="1">
        <f t="shared" si="4"/>
        <v>2.7266279540853913</v>
      </c>
      <c r="O24" s="1" t="str">
        <f t="shared" si="5"/>
        <v>1745.54</v>
      </c>
      <c r="P24" s="1" t="str">
        <f t="shared" si="6"/>
        <v>1498.39</v>
      </c>
      <c r="Q24" s="1" t="str">
        <f t="shared" si="7"/>
        <v>1739.07</v>
      </c>
      <c r="R24" s="1" t="str">
        <f t="shared" si="8"/>
        <v>1499.40</v>
      </c>
      <c r="S24" s="1">
        <f t="shared" si="9"/>
        <v>6.548358572955542</v>
      </c>
      <c r="T24" s="1" t="str">
        <f t="shared" si="10"/>
        <v>2022.24</v>
      </c>
      <c r="U24" s="1" t="str">
        <f t="shared" si="11"/>
        <v>1689.45</v>
      </c>
      <c r="V24" s="1" t="str">
        <f t="shared" si="12"/>
        <v>2024.01</v>
      </c>
      <c r="W24" s="1" t="str">
        <f t="shared" si="13"/>
        <v>1683.23</v>
      </c>
      <c r="X24" s="1">
        <f t="shared" si="14"/>
        <v>6.466938997702103</v>
      </c>
      <c r="Y24" s="1" t="str">
        <f t="shared" si="15"/>
        <v>1884.12</v>
      </c>
      <c r="Z24" s="1" t="str">
        <f t="shared" si="16"/>
        <v>1889.49</v>
      </c>
      <c r="AA24" s="1" t="str">
        <f t="shared" si="17"/>
        <v>1894.65</v>
      </c>
      <c r="AB24" s="1" t="str">
        <f t="shared" si="18"/>
        <v>1883.74</v>
      </c>
      <c r="AC24" s="1">
        <f t="shared" si="19"/>
        <v>11.997641434882283</v>
      </c>
    </row>
    <row r="25" spans="1:29" ht="15.6" x14ac:dyDescent="0.25">
      <c r="A25" s="1">
        <v>24</v>
      </c>
      <c r="B25" s="1" t="s">
        <v>92</v>
      </c>
      <c r="C25" s="1" t="s">
        <v>212</v>
      </c>
      <c r="D25" s="1" t="s">
        <v>93</v>
      </c>
      <c r="E25" s="1" t="s">
        <v>213</v>
      </c>
      <c r="F25" s="1" t="s">
        <v>94</v>
      </c>
      <c r="G25" s="1" t="s">
        <v>214</v>
      </c>
      <c r="H25" s="1" t="s">
        <v>95</v>
      </c>
      <c r="I25" s="1" t="s">
        <v>215</v>
      </c>
      <c r="J25" s="1" t="str">
        <f t="shared" si="0"/>
        <v>639.16</v>
      </c>
      <c r="K25" s="1" t="str">
        <f t="shared" si="1"/>
        <v>1426.52</v>
      </c>
      <c r="L25" s="1" t="str">
        <f t="shared" si="2"/>
        <v>639.29</v>
      </c>
      <c r="M25" s="1" t="str">
        <f t="shared" si="3"/>
        <v>1422.83</v>
      </c>
      <c r="N25" s="1">
        <f t="shared" si="4"/>
        <v>3.6922892627745734</v>
      </c>
      <c r="O25" s="1" t="str">
        <f t="shared" si="5"/>
        <v>830.52</v>
      </c>
      <c r="P25" s="1" t="str">
        <f t="shared" si="6"/>
        <v>1303.69</v>
      </c>
      <c r="Q25" s="1" t="str">
        <f t="shared" si="7"/>
        <v>838.77</v>
      </c>
      <c r="R25" s="1" t="str">
        <f t="shared" si="8"/>
        <v>1301.40</v>
      </c>
      <c r="S25" s="1">
        <f t="shared" si="9"/>
        <v>8.5619273531138909</v>
      </c>
      <c r="T25" s="1" t="str">
        <f t="shared" si="10"/>
        <v>1007.63</v>
      </c>
      <c r="U25" s="1" t="str">
        <f t="shared" si="11"/>
        <v>1579.60</v>
      </c>
      <c r="V25" s="1" t="str">
        <f t="shared" si="12"/>
        <v>1012.02</v>
      </c>
      <c r="W25" s="1" t="str">
        <f t="shared" si="13"/>
        <v>1586.03</v>
      </c>
      <c r="X25" s="1">
        <f t="shared" si="14"/>
        <v>7.7856920052106284</v>
      </c>
      <c r="Y25" s="1" t="str">
        <f t="shared" si="15"/>
        <v>816.27</v>
      </c>
      <c r="Z25" s="1" t="str">
        <f t="shared" si="16"/>
        <v>1702.43</v>
      </c>
      <c r="AA25" s="1" t="str">
        <f t="shared" si="17"/>
        <v>812.54</v>
      </c>
      <c r="AB25" s="1" t="str">
        <f t="shared" si="18"/>
        <v>1707.46</v>
      </c>
      <c r="AC25" s="1">
        <f t="shared" si="19"/>
        <v>6.2620923020983863</v>
      </c>
    </row>
    <row r="26" spans="1:29" ht="15.6" x14ac:dyDescent="0.25">
      <c r="A26" s="1">
        <v>25</v>
      </c>
      <c r="B26" s="1" t="s">
        <v>96</v>
      </c>
      <c r="C26" s="1" t="s">
        <v>216</v>
      </c>
      <c r="D26" s="1" t="s">
        <v>97</v>
      </c>
      <c r="E26" s="1" t="s">
        <v>217</v>
      </c>
      <c r="F26" s="1" t="s">
        <v>98</v>
      </c>
      <c r="G26" s="1" t="s">
        <v>218</v>
      </c>
      <c r="H26" s="1" t="s">
        <v>99</v>
      </c>
      <c r="I26" s="1" t="s">
        <v>219</v>
      </c>
      <c r="J26" s="1" t="str">
        <f t="shared" si="0"/>
        <v>1289.37</v>
      </c>
      <c r="K26" s="1" t="str">
        <f t="shared" si="1"/>
        <v>1526.12</v>
      </c>
      <c r="L26" s="1" t="str">
        <f t="shared" si="2"/>
        <v>1290.06</v>
      </c>
      <c r="M26" s="1" t="str">
        <f t="shared" si="3"/>
        <v>1526.58</v>
      </c>
      <c r="N26" s="1">
        <f t="shared" si="4"/>
        <v>0.82927679335678317</v>
      </c>
      <c r="O26" s="1" t="str">
        <f t="shared" si="5"/>
        <v>1323.58</v>
      </c>
      <c r="P26" s="1" t="str">
        <f t="shared" si="6"/>
        <v>1285.27</v>
      </c>
      <c r="Q26" s="1" t="str">
        <f t="shared" si="7"/>
        <v>1324.32</v>
      </c>
      <c r="R26" s="1" t="str">
        <f t="shared" si="8"/>
        <v>1286.76</v>
      </c>
      <c r="S26" s="1">
        <f t="shared" si="9"/>
        <v>1.6636405861844199</v>
      </c>
      <c r="T26" s="1" t="str">
        <f t="shared" si="10"/>
        <v>1653.29</v>
      </c>
      <c r="U26" s="1" t="str">
        <f t="shared" si="11"/>
        <v>1332.09</v>
      </c>
      <c r="V26" s="1" t="str">
        <f t="shared" si="12"/>
        <v>1655.42</v>
      </c>
      <c r="W26" s="1" t="str">
        <f t="shared" si="13"/>
        <v>1334.06</v>
      </c>
      <c r="X26" s="1">
        <f t="shared" si="14"/>
        <v>2.9013445159099205</v>
      </c>
      <c r="Y26" s="1" t="str">
        <f t="shared" si="15"/>
        <v>1619.09</v>
      </c>
      <c r="Z26" s="1" t="str">
        <f t="shared" si="16"/>
        <v>1572.94</v>
      </c>
      <c r="AA26" s="1" t="str">
        <f t="shared" si="17"/>
        <v>1621.16</v>
      </c>
      <c r="AB26" s="1" t="str">
        <f t="shared" si="18"/>
        <v>1573.88</v>
      </c>
      <c r="AC26" s="1">
        <f t="shared" si="19"/>
        <v>2.273433526629002</v>
      </c>
    </row>
    <row r="27" spans="1:29" ht="15.6" x14ac:dyDescent="0.25">
      <c r="A27" s="1">
        <v>26</v>
      </c>
      <c r="B27" s="1" t="s">
        <v>100</v>
      </c>
      <c r="C27" s="1" t="s">
        <v>220</v>
      </c>
      <c r="D27" s="1" t="s">
        <v>101</v>
      </c>
      <c r="E27" s="1" t="s">
        <v>221</v>
      </c>
      <c r="F27" s="1" t="s">
        <v>102</v>
      </c>
      <c r="G27" s="1" t="s">
        <v>222</v>
      </c>
      <c r="H27" s="1" t="s">
        <v>103</v>
      </c>
      <c r="I27" s="1" t="s">
        <v>223</v>
      </c>
      <c r="J27" s="1" t="str">
        <f t="shared" si="0"/>
        <v>962.12</v>
      </c>
      <c r="K27" s="1" t="str">
        <f t="shared" si="1"/>
        <v>1476.99</v>
      </c>
      <c r="L27" s="1" t="str">
        <f t="shared" si="2"/>
        <v>962.67</v>
      </c>
      <c r="M27" s="1" t="str">
        <f t="shared" si="3"/>
        <v>1476.01</v>
      </c>
      <c r="N27" s="1">
        <f t="shared" si="4"/>
        <v>1.1237882362794094</v>
      </c>
      <c r="O27" s="1" t="str">
        <f t="shared" si="5"/>
        <v>1025.63</v>
      </c>
      <c r="P27" s="1" t="str">
        <f t="shared" si="6"/>
        <v>1150.89</v>
      </c>
      <c r="Q27" s="1" t="str">
        <f t="shared" si="7"/>
        <v>1030.46</v>
      </c>
      <c r="R27" s="1" t="str">
        <f t="shared" si="8"/>
        <v>1149.08</v>
      </c>
      <c r="S27" s="1">
        <f t="shared" si="9"/>
        <v>5.1580034897235114</v>
      </c>
      <c r="T27" s="1" t="str">
        <f t="shared" si="10"/>
        <v>1257.41</v>
      </c>
      <c r="U27" s="1" t="str">
        <f t="shared" si="11"/>
        <v>1196.02</v>
      </c>
      <c r="V27" s="1" t="str">
        <f t="shared" si="12"/>
        <v>1260.69</v>
      </c>
      <c r="W27" s="1" t="str">
        <f t="shared" si="13"/>
        <v>1196.82</v>
      </c>
      <c r="X27" s="1">
        <f t="shared" si="14"/>
        <v>3.3761516553614337</v>
      </c>
      <c r="Y27" s="1" t="str">
        <f t="shared" si="15"/>
        <v>1193.90</v>
      </c>
      <c r="Z27" s="1" t="str">
        <f t="shared" si="16"/>
        <v>1522.13</v>
      </c>
      <c r="AA27" s="1" t="str">
        <f t="shared" si="17"/>
        <v>1192.89</v>
      </c>
      <c r="AB27" s="1" t="str">
        <f t="shared" si="18"/>
        <v>1523.75</v>
      </c>
      <c r="AC27" s="1">
        <f t="shared" si="19"/>
        <v>1.90905735901246</v>
      </c>
    </row>
    <row r="28" spans="1:29" ht="15.6" x14ac:dyDescent="0.25">
      <c r="A28" s="1">
        <v>27</v>
      </c>
      <c r="B28" s="1" t="s">
        <v>104</v>
      </c>
      <c r="C28" s="1" t="s">
        <v>224</v>
      </c>
      <c r="D28" s="1" t="s">
        <v>105</v>
      </c>
      <c r="E28" s="1" t="s">
        <v>225</v>
      </c>
      <c r="F28" s="1" t="s">
        <v>106</v>
      </c>
      <c r="G28" s="1" t="s">
        <v>226</v>
      </c>
      <c r="H28" s="1" t="s">
        <v>107</v>
      </c>
      <c r="I28" s="1" t="s">
        <v>227</v>
      </c>
      <c r="J28" s="1" t="str">
        <f t="shared" si="0"/>
        <v>1710.06</v>
      </c>
      <c r="K28" s="1" t="str">
        <f t="shared" si="1"/>
        <v>1409.69</v>
      </c>
      <c r="L28" s="1" t="str">
        <f t="shared" si="2"/>
        <v>1706.33</v>
      </c>
      <c r="M28" s="1" t="str">
        <f t="shared" si="3"/>
        <v>1410.42</v>
      </c>
      <c r="N28" s="1">
        <f t="shared" si="4"/>
        <v>3.8007630812772533</v>
      </c>
      <c r="O28" s="1" t="str">
        <f t="shared" si="5"/>
        <v>1881.94</v>
      </c>
      <c r="P28" s="1" t="str">
        <f t="shared" si="6"/>
        <v>1121.32</v>
      </c>
      <c r="Q28" s="1" t="str">
        <f t="shared" si="7"/>
        <v>1882.99</v>
      </c>
      <c r="R28" s="1" t="str">
        <f t="shared" si="8"/>
        <v>1120.91</v>
      </c>
      <c r="S28" s="1">
        <f t="shared" si="9"/>
        <v>1.127208942476853</v>
      </c>
      <c r="T28" s="1" t="str">
        <f t="shared" si="10"/>
        <v>2083.69</v>
      </c>
      <c r="U28" s="1" t="str">
        <f t="shared" si="11"/>
        <v>1241.57</v>
      </c>
      <c r="V28" s="1" t="str">
        <f t="shared" si="12"/>
        <v>2085.99</v>
      </c>
      <c r="W28" s="1" t="str">
        <f t="shared" si="13"/>
        <v>1244.77</v>
      </c>
      <c r="X28" s="1">
        <f t="shared" si="14"/>
        <v>3.9408120990474838</v>
      </c>
      <c r="Y28" s="1" t="str">
        <f t="shared" si="15"/>
        <v>1911.81</v>
      </c>
      <c r="Z28" s="1" t="str">
        <f t="shared" si="16"/>
        <v>1529.94</v>
      </c>
      <c r="AA28" s="1" t="str">
        <f t="shared" si="17"/>
        <v>1909.33</v>
      </c>
      <c r="AB28" s="1" t="str">
        <f t="shared" si="18"/>
        <v>1534.29</v>
      </c>
      <c r="AC28" s="1">
        <f t="shared" si="19"/>
        <v>5.0072846933242472</v>
      </c>
    </row>
    <row r="29" spans="1:29" ht="15.6" x14ac:dyDescent="0.25">
      <c r="A29" s="1">
        <v>28</v>
      </c>
      <c r="B29" s="1" t="s">
        <v>108</v>
      </c>
      <c r="C29" s="1" t="s">
        <v>228</v>
      </c>
      <c r="D29" s="1" t="s">
        <v>109</v>
      </c>
      <c r="E29" s="1" t="s">
        <v>229</v>
      </c>
      <c r="F29" s="1" t="s">
        <v>110</v>
      </c>
      <c r="G29" s="1" t="s">
        <v>230</v>
      </c>
      <c r="H29" s="1" t="s">
        <v>111</v>
      </c>
      <c r="I29" s="1" t="s">
        <v>231</v>
      </c>
      <c r="J29" s="1" t="str">
        <f t="shared" si="0"/>
        <v>577.58</v>
      </c>
      <c r="K29" s="1" t="str">
        <f t="shared" si="1"/>
        <v>986.92</v>
      </c>
      <c r="L29" s="1" t="str">
        <f t="shared" si="2"/>
        <v>580.86</v>
      </c>
      <c r="M29" s="1" t="str">
        <f t="shared" si="3"/>
        <v>985.67</v>
      </c>
      <c r="N29" s="1">
        <f t="shared" si="4"/>
        <v>3.5101139582640077</v>
      </c>
      <c r="O29" s="1" t="str">
        <f t="shared" si="5"/>
        <v>929.94</v>
      </c>
      <c r="P29" s="1" t="str">
        <f t="shared" si="6"/>
        <v>970.74</v>
      </c>
      <c r="Q29" s="1" t="str">
        <f t="shared" si="7"/>
        <v>935.04</v>
      </c>
      <c r="R29" s="1" t="str">
        <f t="shared" si="8"/>
        <v>970.92</v>
      </c>
      <c r="S29" s="1">
        <f t="shared" si="9"/>
        <v>5.1031754819914878</v>
      </c>
      <c r="T29" s="1" t="str">
        <f t="shared" si="10"/>
        <v>940.96</v>
      </c>
      <c r="U29" s="1" t="str">
        <f t="shared" si="11"/>
        <v>1210.74</v>
      </c>
      <c r="V29" s="1" t="str">
        <f t="shared" si="12"/>
        <v>945.05</v>
      </c>
      <c r="W29" s="1" t="str">
        <f t="shared" si="13"/>
        <v>1211.08</v>
      </c>
      <c r="X29" s="1">
        <f t="shared" si="14"/>
        <v>4.1041076983918527</v>
      </c>
      <c r="Y29" s="1" t="str">
        <f t="shared" si="15"/>
        <v>588.60</v>
      </c>
      <c r="Z29" s="1" t="str">
        <f t="shared" si="16"/>
        <v>1226.92</v>
      </c>
      <c r="AA29" s="1" t="str">
        <f t="shared" si="17"/>
        <v>590.87</v>
      </c>
      <c r="AB29" s="1" t="str">
        <f t="shared" si="18"/>
        <v>1225.84</v>
      </c>
      <c r="AC29" s="1">
        <f t="shared" si="19"/>
        <v>2.5138217916153587</v>
      </c>
    </row>
    <row r="30" spans="1:29" ht="15.6" x14ac:dyDescent="0.25">
      <c r="A30" s="1">
        <v>29</v>
      </c>
      <c r="B30" s="1" t="s">
        <v>112</v>
      </c>
      <c r="C30" s="1" t="s">
        <v>232</v>
      </c>
      <c r="D30" s="1" t="s">
        <v>113</v>
      </c>
      <c r="E30" s="1" t="s">
        <v>233</v>
      </c>
      <c r="F30" s="1" t="s">
        <v>114</v>
      </c>
      <c r="G30" s="1" t="s">
        <v>234</v>
      </c>
      <c r="H30" s="1" t="s">
        <v>115</v>
      </c>
      <c r="I30" s="1" t="s">
        <v>235</v>
      </c>
      <c r="J30" s="1" t="str">
        <f t="shared" si="0"/>
        <v>1549.73</v>
      </c>
      <c r="K30" s="1" t="str">
        <f t="shared" si="1"/>
        <v>1251.14</v>
      </c>
      <c r="L30" s="1" t="str">
        <f t="shared" si="2"/>
        <v>1548.69</v>
      </c>
      <c r="M30" s="1" t="str">
        <f t="shared" si="3"/>
        <v>1250.96</v>
      </c>
      <c r="N30" s="1">
        <f t="shared" si="4"/>
        <v>1.0554619841566759</v>
      </c>
      <c r="O30" s="1" t="str">
        <f t="shared" si="5"/>
        <v>1555.65</v>
      </c>
      <c r="P30" s="1" t="str">
        <f t="shared" si="6"/>
        <v>915.51</v>
      </c>
      <c r="Q30" s="1" t="str">
        <f t="shared" si="7"/>
        <v>1559.23</v>
      </c>
      <c r="R30" s="1" t="str">
        <f t="shared" si="8"/>
        <v>913.63</v>
      </c>
      <c r="S30" s="1">
        <f t="shared" si="9"/>
        <v>4.0436122464943969</v>
      </c>
      <c r="T30" s="1" t="str">
        <f t="shared" si="10"/>
        <v>1798.42</v>
      </c>
      <c r="U30" s="1" t="str">
        <f t="shared" si="11"/>
        <v>919.79</v>
      </c>
      <c r="V30" s="1" t="str">
        <f t="shared" si="12"/>
        <v>1804.65</v>
      </c>
      <c r="W30" s="1" t="str">
        <f t="shared" si="13"/>
        <v>921.30</v>
      </c>
      <c r="X30" s="1">
        <f t="shared" si="14"/>
        <v>6.4103822038939455</v>
      </c>
      <c r="Y30" s="1" t="str">
        <f t="shared" si="15"/>
        <v>1792.49</v>
      </c>
      <c r="Z30" s="1" t="str">
        <f t="shared" si="16"/>
        <v>1255.43</v>
      </c>
      <c r="AA30" s="1" t="str">
        <f t="shared" si="17"/>
        <v>1794.11</v>
      </c>
      <c r="AB30" s="1" t="str">
        <f t="shared" si="18"/>
        <v>1258.63</v>
      </c>
      <c r="AC30" s="1">
        <f t="shared" si="19"/>
        <v>3.5866976454671975</v>
      </c>
    </row>
    <row r="31" spans="1:29" ht="15.6" x14ac:dyDescent="0.25">
      <c r="A31" s="1">
        <v>30</v>
      </c>
      <c r="B31" s="1" t="s">
        <v>116</v>
      </c>
      <c r="C31" s="1" t="s">
        <v>236</v>
      </c>
      <c r="D31" s="1" t="s">
        <v>117</v>
      </c>
      <c r="E31" s="1" t="s">
        <v>237</v>
      </c>
      <c r="F31" s="1" t="s">
        <v>118</v>
      </c>
      <c r="G31" s="1" t="s">
        <v>238</v>
      </c>
      <c r="H31" s="1" t="s">
        <v>119</v>
      </c>
      <c r="I31" s="1" t="s">
        <v>239</v>
      </c>
      <c r="J31" s="1" t="str">
        <f t="shared" si="0"/>
        <v>1099.84</v>
      </c>
      <c r="K31" s="1" t="str">
        <f t="shared" si="1"/>
        <v>1135.66</v>
      </c>
      <c r="L31" s="1" t="str">
        <f t="shared" si="2"/>
        <v>1100.46</v>
      </c>
      <c r="M31" s="1" t="str">
        <f t="shared" si="3"/>
        <v>1137.58</v>
      </c>
      <c r="N31" s="1">
        <f t="shared" si="4"/>
        <v>2.0176223630797594</v>
      </c>
      <c r="O31" s="1" t="str">
        <f t="shared" si="5"/>
        <v>1105.94</v>
      </c>
      <c r="P31" s="1" t="str">
        <f t="shared" si="6"/>
        <v>806.00</v>
      </c>
      <c r="Q31" s="1" t="str">
        <f t="shared" si="7"/>
        <v>1107.13</v>
      </c>
      <c r="R31" s="1" t="str">
        <f t="shared" si="8"/>
        <v>805.39</v>
      </c>
      <c r="S31" s="1">
        <f t="shared" si="9"/>
        <v>1.3372359552450519</v>
      </c>
      <c r="T31" s="1" t="str">
        <f t="shared" si="10"/>
        <v>1342.79</v>
      </c>
      <c r="U31" s="1" t="str">
        <f t="shared" si="11"/>
        <v>810.39</v>
      </c>
      <c r="V31" s="1" t="str">
        <f t="shared" si="12"/>
        <v>1343.94</v>
      </c>
      <c r="W31" s="1" t="str">
        <f t="shared" si="13"/>
        <v>810.15</v>
      </c>
      <c r="X31" s="1">
        <f t="shared" si="14"/>
        <v>1.1747765745026642</v>
      </c>
      <c r="Y31" s="1" t="str">
        <f t="shared" si="15"/>
        <v>1336.68</v>
      </c>
      <c r="Z31" s="1" t="str">
        <f t="shared" si="16"/>
        <v>1140.05</v>
      </c>
      <c r="AA31" s="1" t="str">
        <f t="shared" si="17"/>
        <v>1337.26</v>
      </c>
      <c r="AB31" s="1" t="str">
        <f t="shared" si="18"/>
        <v>1142.34</v>
      </c>
      <c r="AC31" s="1">
        <f t="shared" si="19"/>
        <v>2.3623081932719425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2025-04-21T08:14:43Z</dcterms:created>
  <dcterms:modified xsi:type="dcterms:W3CDTF">2026-02-23T02:55:12Z</dcterms:modified>
</cp:coreProperties>
</file>