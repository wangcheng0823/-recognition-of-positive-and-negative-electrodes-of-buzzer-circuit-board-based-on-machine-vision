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vo X21A\我的研究生\科研项目\OpenCV蜂鸣器正负极识别\小论文\我的论文\投稿版\PLOS One\修改提交\图表数据\"/>
    </mc:Choice>
  </mc:AlternateContent>
  <xr:revisionPtr revIDLastSave="0" documentId="13_ncr:1_{811AA4A9-7CB3-476A-83E0-9B2A3814F45D}" xr6:coauthVersionLast="47" xr6:coauthVersionMax="47" xr10:uidLastSave="{00000000-0000-0000-0000-000000000000}"/>
  <bookViews>
    <workbookView xWindow="-108" yWindow="-108" windowWidth="23256" windowHeight="12576" xr2:uid="{E8E9204B-A3D2-4D6C-BBD9-2C217A3E72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" i="1"/>
  <c r="G2" i="1"/>
  <c r="F2" i="1"/>
  <c r="H2" i="1" s="1"/>
  <c r="E2" i="1"/>
  <c r="D2" i="1"/>
  <c r="H32" i="1" l="1"/>
</calcChain>
</file>

<file path=xl/sharedStrings.xml><?xml version="1.0" encoding="utf-8"?>
<sst xmlns="http://schemas.openxmlformats.org/spreadsheetml/2006/main" count="76" uniqueCount="70">
  <si>
    <t>(1755.27,1379.53)</t>
  </si>
  <si>
    <t>(1394.02,1365.70)</t>
  </si>
  <si>
    <t>(1395.59,1366.24)</t>
  </si>
  <si>
    <t>(1181.15,1109.19)</t>
  </si>
  <si>
    <t>(1179.52,1108.73)</t>
  </si>
  <si>
    <t>(1870.88,1049.19)</t>
  </si>
  <si>
    <t>(1871.40,1047.58)</t>
  </si>
  <si>
    <t>(1478.94,971.76)</t>
  </si>
  <si>
    <t>(1478.40,972.44)</t>
  </si>
  <si>
    <t>(1735.05,720.12)</t>
  </si>
  <si>
    <t>(1737.17,721.21)</t>
  </si>
  <si>
    <t>(777.62,1644.94)</t>
  </si>
  <si>
    <t>(776.08,1643.85)</t>
  </si>
  <si>
    <t>(1330.23,1514.45)</t>
  </si>
  <si>
    <t>(1329.20,1515.35)</t>
  </si>
  <si>
    <t>(643.85,1209.27)</t>
  </si>
  <si>
    <t>(639.54,1214.21)</t>
  </si>
  <si>
    <t>(1024.86,1183.43)</t>
  </si>
  <si>
    <t>(1024.20,1182.74)</t>
  </si>
  <si>
    <t>(1514.31,922.75)</t>
  </si>
  <si>
    <t>(1513.54,924.70)</t>
  </si>
  <si>
    <t>(1050.50,659.01)</t>
  </si>
  <si>
    <t>(1048.96,657.83)</t>
  </si>
  <si>
    <t>(1197.22,1741.66)</t>
  </si>
  <si>
    <t>(1199.39,1743.25)</t>
  </si>
  <si>
    <t>(1763.92,1642.49)</t>
  </si>
  <si>
    <t>(1764.66,1645.13)</t>
  </si>
  <si>
    <t>(1495.77,1406.46)</t>
  </si>
  <si>
    <t>(1496.75,1406.37)</t>
  </si>
  <si>
    <t>(688.02,1414.10)</t>
  </si>
  <si>
    <t>(687.00,1413.78)</t>
  </si>
  <si>
    <t>(1073.58,1323.76)</t>
  </si>
  <si>
    <t>(1075.53,1325.07)</t>
  </si>
  <si>
    <t>(1685.71,1054.31)</t>
  </si>
  <si>
    <t>(1685.60,1056.11)</t>
  </si>
  <si>
    <t>(1160.41,842.45)</t>
  </si>
  <si>
    <t>(1161.57,842.39)</t>
  </si>
  <si>
    <t>(1526.50,570.09)</t>
  </si>
  <si>
    <t>(1527.40,570.37)</t>
  </si>
  <si>
    <t>(1090.48,1813.91)</t>
  </si>
  <si>
    <t>(1093.18,1813.23)</t>
  </si>
  <si>
    <t>(1459.36,1799.18)</t>
  </si>
  <si>
    <t>(1461.09,1799.88)</t>
  </si>
  <si>
    <t>(1814.83,1693.94)</t>
  </si>
  <si>
    <t>(1816.86,1691.57)</t>
  </si>
  <si>
    <t>(823.40,1503.06)</t>
  </si>
  <si>
    <t>(825.65,1504.43)</t>
  </si>
  <si>
    <t>(1471.33,1429.11)</t>
  </si>
  <si>
    <t>(1472.74,1430.32)</t>
  </si>
  <si>
    <t>(1109.76,1336.51)</t>
  </si>
  <si>
    <t>(1111.68,1336.41)</t>
  </si>
  <si>
    <t>(1896.87,1325.63)</t>
  </si>
  <si>
    <t>(1896.16,1327.60)</t>
  </si>
  <si>
    <t>(759.27,1098.83)</t>
  </si>
  <si>
    <t>(762.95,1098.38)</t>
  </si>
  <si>
    <t>(1674.07,1085.47)</t>
  </si>
  <si>
    <t>(1676.67,1086.13)</t>
  </si>
  <si>
    <r>
      <t>(1221.31,</t>
    </r>
    <r>
      <rPr>
        <sz val="12"/>
        <color theme="1"/>
        <rFont val="等线"/>
        <family val="3"/>
        <charset val="134"/>
        <scheme val="minor"/>
      </rPr>
      <t xml:space="preserve"> </t>
    </r>
    <r>
      <rPr>
        <sz val="12"/>
        <color theme="1"/>
        <rFont val="宋体"/>
        <family val="3"/>
        <charset val="134"/>
      </rPr>
      <t>973.02)</t>
    </r>
  </si>
  <si>
    <t>(1222.20,973.86)</t>
  </si>
  <si>
    <t>(1756.10,1378.69)</t>
    <phoneticPr fontId="3" type="noConversion"/>
  </si>
  <si>
    <t>\</t>
    <phoneticPr fontId="3" type="noConversion"/>
  </si>
  <si>
    <t>No.</t>
    <phoneticPr fontId="3" type="noConversion"/>
  </si>
  <si>
    <t>experimental value</t>
    <phoneticPr fontId="3" type="noConversion"/>
  </si>
  <si>
    <t>standard value</t>
    <phoneticPr fontId="3" type="noConversion"/>
  </si>
  <si>
    <t>experimental value of x</t>
    <phoneticPr fontId="3" type="noConversion"/>
  </si>
  <si>
    <t>experimental value of y</t>
    <phoneticPr fontId="3" type="noConversion"/>
  </si>
  <si>
    <t>standard value of x</t>
    <phoneticPr fontId="3" type="noConversion"/>
  </si>
  <si>
    <t>standard value of y</t>
    <phoneticPr fontId="3" type="noConversion"/>
  </si>
  <si>
    <t>error</t>
    <phoneticPr fontId="3" type="noConversion"/>
  </si>
  <si>
    <t>average error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</si>
</sst>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717A0-2A98-49D6-8195-89CB92F61DE1}">
  <dimension ref="A1:I32"/>
  <sheetViews>
    <sheetView tabSelected="1" workbookViewId="0">
      <selection activeCell="K34" sqref="K34"/>
    </sheetView>
  </sheetViews>
  <sheetFormatPr defaultRowHeight="13.8" x14ac:dyDescent="0.25"/>
  <cols>
    <col min="1" max="1" width="15.88671875" customWidth="1"/>
    <col min="2" max="2" width="23" customWidth="1"/>
    <col min="3" max="3" width="19.88671875" customWidth="1"/>
    <col min="4" max="5" width="27.5546875" customWidth="1"/>
    <col min="6" max="7" width="23" customWidth="1"/>
    <col min="8" max="8" width="13.21875" customWidth="1"/>
    <col min="9" max="9" width="15.44140625" customWidth="1"/>
  </cols>
  <sheetData>
    <row r="1" spans="1:9" ht="18" customHeight="1" thickBot="1" x14ac:dyDescent="0.3">
      <c r="A1" s="1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</row>
    <row r="2" spans="1:9" ht="16.2" thickBot="1" x14ac:dyDescent="0.3">
      <c r="A2" s="3">
        <v>1</v>
      </c>
      <c r="B2" s="4" t="s">
        <v>0</v>
      </c>
      <c r="C2" s="4" t="s">
        <v>59</v>
      </c>
      <c r="D2" s="4" t="str">
        <f>LEFT(MID(B2, 2, LEN(B2) - 2), FIND(",", MID(B2, 2, LEN(B2) - 2)) - 1)</f>
        <v>1755.27</v>
      </c>
      <c r="E2" s="4" t="str">
        <f>MID(MID(B2, 2, LEN(B2) - 2), FIND(",", MID(B2, 2, LEN(B2) - 2)) + 1, LEN(MID(B2, 2, LEN(B2) - 2)))</f>
        <v>1379.53</v>
      </c>
      <c r="F2" s="4" t="str">
        <f>LEFT(MID(C2, 2, LEN(C2) - 2), FIND(",", MID(C2, 2, LEN(C2) - 2)) - 1)</f>
        <v>1756.10</v>
      </c>
      <c r="G2" s="4" t="str">
        <f>MID(MID(C2, 2, LEN(C2) - 2), FIND(",", MID(C2, 2, LEN(C2) - 2)) + 1, LEN(MID(C2, 2, LEN(C2) - 2)))</f>
        <v>1378.69</v>
      </c>
      <c r="H2" s="4">
        <f>SQRT((F2 - D2)^2 + (G2 - E2)^2)</f>
        <v>1.1808894952533626</v>
      </c>
      <c r="I2" s="4">
        <v>2.063870750495584</v>
      </c>
    </row>
    <row r="3" spans="1:9" ht="16.2" thickBot="1" x14ac:dyDescent="0.3">
      <c r="A3" s="3">
        <v>2</v>
      </c>
      <c r="B3" s="4" t="s">
        <v>1</v>
      </c>
      <c r="C3" s="4" t="s">
        <v>2</v>
      </c>
      <c r="D3" s="4" t="str">
        <f>LEFT(MID(B3, 2, LEN(B3) - 2), FIND(",", MID(B3, 2, LEN(B3) - 2)) - 1)</f>
        <v>1394.02</v>
      </c>
      <c r="E3" s="4" t="str">
        <f t="shared" ref="E3:E31" si="0">MID(MID(B3, 2, LEN(B3) - 2), FIND(",", MID(B3, 2, LEN(B3) - 2)) + 1, LEN(MID(B3, 2, LEN(B3) - 2)))</f>
        <v>1365.70</v>
      </c>
      <c r="F3" s="4" t="str">
        <f t="shared" ref="F3:F31" si="1">LEFT(MID(C3, 2, LEN(C3) - 2), FIND(",", MID(C3, 2, LEN(C3) - 2)) - 1)</f>
        <v>1395.59</v>
      </c>
      <c r="G3" s="4" t="str">
        <f t="shared" ref="G3:G31" si="2">MID(MID(C3, 2, LEN(C3) - 2), FIND(",", MID(C3, 2, LEN(C3) - 2)) + 1, LEN(MID(C3, 2, LEN(C3) - 2)))</f>
        <v>1366.24</v>
      </c>
      <c r="H3" s="4">
        <f t="shared" ref="H3:H31" si="3">SQRT((F3 - D3)^2 + (G3 - E3)^2)</f>
        <v>1.6602710622063377</v>
      </c>
      <c r="I3" s="4">
        <v>2.063870750495584</v>
      </c>
    </row>
    <row r="4" spans="1:9" ht="16.2" thickBot="1" x14ac:dyDescent="0.3">
      <c r="A4" s="3">
        <v>3</v>
      </c>
      <c r="B4" s="4" t="s">
        <v>3</v>
      </c>
      <c r="C4" s="4" t="s">
        <v>4</v>
      </c>
      <c r="D4" s="4" t="str">
        <f t="shared" ref="D4:D31" si="4">LEFT(MID(B4, 2, LEN(B4) - 2), FIND(",", MID(B4, 2, LEN(B4) - 2)) - 1)</f>
        <v>1181.15</v>
      </c>
      <c r="E4" s="4" t="str">
        <f t="shared" si="0"/>
        <v>1109.19</v>
      </c>
      <c r="F4" s="4" t="str">
        <f t="shared" si="1"/>
        <v>1179.52</v>
      </c>
      <c r="G4" s="4" t="str">
        <f t="shared" si="2"/>
        <v>1108.73</v>
      </c>
      <c r="H4" s="4">
        <f t="shared" si="3"/>
        <v>1.6936646657471452</v>
      </c>
      <c r="I4" s="4">
        <v>2.063870750495584</v>
      </c>
    </row>
    <row r="5" spans="1:9" ht="16.2" thickBot="1" x14ac:dyDescent="0.3">
      <c r="A5" s="3">
        <v>4</v>
      </c>
      <c r="B5" s="4" t="s">
        <v>5</v>
      </c>
      <c r="C5" s="4" t="s">
        <v>6</v>
      </c>
      <c r="D5" s="4" t="str">
        <f t="shared" si="4"/>
        <v>1870.88</v>
      </c>
      <c r="E5" s="4" t="str">
        <f t="shared" si="0"/>
        <v>1049.19</v>
      </c>
      <c r="F5" s="4" t="str">
        <f t="shared" si="1"/>
        <v>1871.40</v>
      </c>
      <c r="G5" s="4" t="str">
        <f t="shared" si="2"/>
        <v>1047.58</v>
      </c>
      <c r="H5" s="4">
        <f t="shared" si="3"/>
        <v>1.6918924315689787</v>
      </c>
      <c r="I5" s="4">
        <v>2.063870750495584</v>
      </c>
    </row>
    <row r="6" spans="1:9" ht="16.2" thickBot="1" x14ac:dyDescent="0.3">
      <c r="A6" s="3">
        <v>5</v>
      </c>
      <c r="B6" s="4" t="s">
        <v>7</v>
      </c>
      <c r="C6" s="4" t="s">
        <v>8</v>
      </c>
      <c r="D6" s="4" t="str">
        <f t="shared" si="4"/>
        <v>1478.94</v>
      </c>
      <c r="E6" s="4" t="str">
        <f t="shared" si="0"/>
        <v>971.76</v>
      </c>
      <c r="F6" s="4" t="str">
        <f t="shared" si="1"/>
        <v>1478.40</v>
      </c>
      <c r="G6" s="4" t="str">
        <f t="shared" si="2"/>
        <v>972.44</v>
      </c>
      <c r="H6" s="4">
        <f t="shared" si="3"/>
        <v>0.86833173384372364</v>
      </c>
      <c r="I6" s="4">
        <v>2.063870750495584</v>
      </c>
    </row>
    <row r="7" spans="1:9" ht="16.2" thickBot="1" x14ac:dyDescent="0.3">
      <c r="A7" s="3">
        <v>6</v>
      </c>
      <c r="B7" s="4" t="s">
        <v>9</v>
      </c>
      <c r="C7" s="4" t="s">
        <v>10</v>
      </c>
      <c r="D7" s="4" t="str">
        <f t="shared" si="4"/>
        <v>1735.05</v>
      </c>
      <c r="E7" s="4" t="str">
        <f t="shared" si="0"/>
        <v>720.12</v>
      </c>
      <c r="F7" s="4" t="str">
        <f t="shared" si="1"/>
        <v>1737.17</v>
      </c>
      <c r="G7" s="4" t="str">
        <f t="shared" si="2"/>
        <v>721.21</v>
      </c>
      <c r="H7" s="4">
        <f t="shared" si="3"/>
        <v>2.3837994882121634</v>
      </c>
      <c r="I7" s="4">
        <v>2.063870750495584</v>
      </c>
    </row>
    <row r="8" spans="1:9" ht="16.2" thickBot="1" x14ac:dyDescent="0.3">
      <c r="A8" s="3">
        <v>7</v>
      </c>
      <c r="B8" s="4" t="s">
        <v>11</v>
      </c>
      <c r="C8" s="4" t="s">
        <v>12</v>
      </c>
      <c r="D8" s="4" t="str">
        <f t="shared" si="4"/>
        <v>777.62</v>
      </c>
      <c r="E8" s="4" t="str">
        <f t="shared" si="0"/>
        <v>1644.94</v>
      </c>
      <c r="F8" s="4" t="str">
        <f t="shared" si="1"/>
        <v>776.08</v>
      </c>
      <c r="G8" s="4" t="str">
        <f t="shared" si="2"/>
        <v>1643.85</v>
      </c>
      <c r="H8" s="4">
        <f t="shared" si="3"/>
        <v>1.8867167248954479</v>
      </c>
      <c r="I8" s="4">
        <v>2.063870750495584</v>
      </c>
    </row>
    <row r="9" spans="1:9" ht="16.2" thickBot="1" x14ac:dyDescent="0.3">
      <c r="A9" s="3">
        <v>8</v>
      </c>
      <c r="B9" s="4" t="s">
        <v>13</v>
      </c>
      <c r="C9" s="4" t="s">
        <v>14</v>
      </c>
      <c r="D9" s="4" t="str">
        <f t="shared" si="4"/>
        <v>1330.23</v>
      </c>
      <c r="E9" s="4" t="str">
        <f t="shared" si="0"/>
        <v>1514.45</v>
      </c>
      <c r="F9" s="4" t="str">
        <f t="shared" si="1"/>
        <v>1329.20</v>
      </c>
      <c r="G9" s="4" t="str">
        <f t="shared" si="2"/>
        <v>1515.35</v>
      </c>
      <c r="H9" s="4">
        <f t="shared" si="3"/>
        <v>1.3678084661237107</v>
      </c>
      <c r="I9" s="4">
        <v>2.063870750495584</v>
      </c>
    </row>
    <row r="10" spans="1:9" ht="16.2" thickBot="1" x14ac:dyDescent="0.3">
      <c r="A10" s="3">
        <v>9</v>
      </c>
      <c r="B10" s="4" t="s">
        <v>15</v>
      </c>
      <c r="C10" s="4" t="s">
        <v>16</v>
      </c>
      <c r="D10" s="4" t="str">
        <f t="shared" si="4"/>
        <v>643.85</v>
      </c>
      <c r="E10" s="4" t="str">
        <f t="shared" si="0"/>
        <v>1209.27</v>
      </c>
      <c r="F10" s="4" t="str">
        <f t="shared" si="1"/>
        <v>639.54</v>
      </c>
      <c r="G10" s="4" t="str">
        <f t="shared" si="2"/>
        <v>1214.21</v>
      </c>
      <c r="H10" s="4">
        <f t="shared" si="3"/>
        <v>6.5558904810865357</v>
      </c>
      <c r="I10" s="4">
        <v>2.063870750495584</v>
      </c>
    </row>
    <row r="11" spans="1:9" ht="16.2" thickBot="1" x14ac:dyDescent="0.3">
      <c r="A11" s="3">
        <v>10</v>
      </c>
      <c r="B11" s="4" t="s">
        <v>17</v>
      </c>
      <c r="C11" s="4" t="s">
        <v>18</v>
      </c>
      <c r="D11" s="4" t="str">
        <f t="shared" si="4"/>
        <v>1024.86</v>
      </c>
      <c r="E11" s="4" t="str">
        <f t="shared" si="0"/>
        <v>1183.43</v>
      </c>
      <c r="F11" s="4" t="str">
        <f t="shared" si="1"/>
        <v>1024.20</v>
      </c>
      <c r="G11" s="4" t="str">
        <f t="shared" si="2"/>
        <v>1182.74</v>
      </c>
      <c r="H11" s="4">
        <f t="shared" si="3"/>
        <v>0.95482982777031178</v>
      </c>
      <c r="I11" s="4">
        <v>2.063870750495584</v>
      </c>
    </row>
    <row r="12" spans="1:9" ht="16.2" thickBot="1" x14ac:dyDescent="0.3">
      <c r="A12" s="3">
        <v>11</v>
      </c>
      <c r="B12" s="4" t="s">
        <v>19</v>
      </c>
      <c r="C12" s="4" t="s">
        <v>20</v>
      </c>
      <c r="D12" s="4" t="str">
        <f t="shared" si="4"/>
        <v>1514.31</v>
      </c>
      <c r="E12" s="4" t="str">
        <f t="shared" si="0"/>
        <v>922.75</v>
      </c>
      <c r="F12" s="4" t="str">
        <f t="shared" si="1"/>
        <v>1513.54</v>
      </c>
      <c r="G12" s="4" t="str">
        <f t="shared" si="2"/>
        <v>924.70</v>
      </c>
      <c r="H12" s="4">
        <f t="shared" si="3"/>
        <v>2.0965209276322883</v>
      </c>
      <c r="I12" s="4">
        <v>2.063870750495584</v>
      </c>
    </row>
    <row r="13" spans="1:9" ht="16.2" thickBot="1" x14ac:dyDescent="0.3">
      <c r="A13" s="3">
        <v>12</v>
      </c>
      <c r="B13" s="4" t="s">
        <v>21</v>
      </c>
      <c r="C13" s="4" t="s">
        <v>22</v>
      </c>
      <c r="D13" s="4" t="str">
        <f t="shared" si="4"/>
        <v>1050.50</v>
      </c>
      <c r="E13" s="4" t="str">
        <f t="shared" si="0"/>
        <v>659.01</v>
      </c>
      <c r="F13" s="4" t="str">
        <f t="shared" si="1"/>
        <v>1048.96</v>
      </c>
      <c r="G13" s="4" t="str">
        <f t="shared" si="2"/>
        <v>657.83</v>
      </c>
      <c r="H13" s="4">
        <f t="shared" si="3"/>
        <v>1.9401030900443847</v>
      </c>
      <c r="I13" s="4">
        <v>2.063870750495584</v>
      </c>
    </row>
    <row r="14" spans="1:9" ht="16.2" thickBot="1" x14ac:dyDescent="0.3">
      <c r="A14" s="3">
        <v>13</v>
      </c>
      <c r="B14" s="4" t="s">
        <v>23</v>
      </c>
      <c r="C14" s="4" t="s">
        <v>24</v>
      </c>
      <c r="D14" s="4" t="str">
        <f t="shared" si="4"/>
        <v>1197.22</v>
      </c>
      <c r="E14" s="4" t="str">
        <f t="shared" si="0"/>
        <v>1741.66</v>
      </c>
      <c r="F14" s="4" t="str">
        <f t="shared" si="1"/>
        <v>1199.39</v>
      </c>
      <c r="G14" s="4" t="str">
        <f t="shared" si="2"/>
        <v>1743.25</v>
      </c>
      <c r="H14" s="4">
        <f t="shared" si="3"/>
        <v>2.6901672810440722</v>
      </c>
      <c r="I14" s="4">
        <v>2.063870750495584</v>
      </c>
    </row>
    <row r="15" spans="1:9" ht="16.2" thickBot="1" x14ac:dyDescent="0.3">
      <c r="A15" s="3">
        <v>14</v>
      </c>
      <c r="B15" s="4" t="s">
        <v>25</v>
      </c>
      <c r="C15" s="4" t="s">
        <v>26</v>
      </c>
      <c r="D15" s="4" t="str">
        <f t="shared" si="4"/>
        <v>1763.92</v>
      </c>
      <c r="E15" s="4" t="str">
        <f t="shared" si="0"/>
        <v>1642.49</v>
      </c>
      <c r="F15" s="4" t="str">
        <f t="shared" si="1"/>
        <v>1764.66</v>
      </c>
      <c r="G15" s="4" t="str">
        <f t="shared" si="2"/>
        <v>1645.13</v>
      </c>
      <c r="H15" s="4">
        <f t="shared" si="3"/>
        <v>2.7417512651589204</v>
      </c>
      <c r="I15" s="4">
        <v>2.063870750495584</v>
      </c>
    </row>
    <row r="16" spans="1:9" ht="16.2" thickBot="1" x14ac:dyDescent="0.3">
      <c r="A16" s="3">
        <v>15</v>
      </c>
      <c r="B16" s="4" t="s">
        <v>27</v>
      </c>
      <c r="C16" s="4" t="s">
        <v>28</v>
      </c>
      <c r="D16" s="4" t="str">
        <f t="shared" si="4"/>
        <v>1495.77</v>
      </c>
      <c r="E16" s="4" t="str">
        <f t="shared" si="0"/>
        <v>1406.46</v>
      </c>
      <c r="F16" s="4" t="str">
        <f t="shared" si="1"/>
        <v>1496.75</v>
      </c>
      <c r="G16" s="4" t="str">
        <f t="shared" si="2"/>
        <v>1406.37</v>
      </c>
      <c r="H16" s="4">
        <f t="shared" si="3"/>
        <v>0.98412397592989365</v>
      </c>
      <c r="I16" s="4">
        <v>2.063870750495584</v>
      </c>
    </row>
    <row r="17" spans="1:9" ht="16.2" thickBot="1" x14ac:dyDescent="0.3">
      <c r="A17" s="3">
        <v>16</v>
      </c>
      <c r="B17" s="4" t="s">
        <v>29</v>
      </c>
      <c r="C17" s="4" t="s">
        <v>30</v>
      </c>
      <c r="D17" s="4" t="str">
        <f t="shared" si="4"/>
        <v>688.02</v>
      </c>
      <c r="E17" s="4" t="str">
        <f t="shared" si="0"/>
        <v>1414.10</v>
      </c>
      <c r="F17" s="4" t="str">
        <f t="shared" si="1"/>
        <v>687.00</v>
      </c>
      <c r="G17" s="4" t="str">
        <f t="shared" si="2"/>
        <v>1413.78</v>
      </c>
      <c r="H17" s="4">
        <f t="shared" si="3"/>
        <v>1.0690182411913849</v>
      </c>
      <c r="I17" s="4">
        <v>2.063870750495584</v>
      </c>
    </row>
    <row r="18" spans="1:9" ht="16.2" thickBot="1" x14ac:dyDescent="0.3">
      <c r="A18" s="3">
        <v>17</v>
      </c>
      <c r="B18" s="4" t="s">
        <v>31</v>
      </c>
      <c r="C18" s="4" t="s">
        <v>32</v>
      </c>
      <c r="D18" s="4" t="str">
        <f t="shared" si="4"/>
        <v>1073.58</v>
      </c>
      <c r="E18" s="4" t="str">
        <f t="shared" si="0"/>
        <v>1323.76</v>
      </c>
      <c r="F18" s="4" t="str">
        <f t="shared" si="1"/>
        <v>1075.53</v>
      </c>
      <c r="G18" s="4" t="str">
        <f t="shared" si="2"/>
        <v>1325.07</v>
      </c>
      <c r="H18" s="4">
        <f t="shared" si="3"/>
        <v>2.3491700662148824</v>
      </c>
      <c r="I18" s="4">
        <v>2.063870750495584</v>
      </c>
    </row>
    <row r="19" spans="1:9" ht="16.2" thickBot="1" x14ac:dyDescent="0.3">
      <c r="A19" s="3">
        <v>18</v>
      </c>
      <c r="B19" s="4" t="s">
        <v>33</v>
      </c>
      <c r="C19" s="4" t="s">
        <v>34</v>
      </c>
      <c r="D19" s="4" t="str">
        <f t="shared" si="4"/>
        <v>1685.71</v>
      </c>
      <c r="E19" s="4" t="str">
        <f t="shared" si="0"/>
        <v>1054.31</v>
      </c>
      <c r="F19" s="4" t="str">
        <f t="shared" si="1"/>
        <v>1685.60</v>
      </c>
      <c r="G19" s="4" t="str">
        <f t="shared" si="2"/>
        <v>1056.11</v>
      </c>
      <c r="H19" s="4">
        <f t="shared" si="3"/>
        <v>1.803357978882691</v>
      </c>
      <c r="I19" s="4">
        <v>2.063870750495584</v>
      </c>
    </row>
    <row r="20" spans="1:9" ht="16.2" thickBot="1" x14ac:dyDescent="0.3">
      <c r="A20" s="3">
        <v>19</v>
      </c>
      <c r="B20" s="4" t="s">
        <v>35</v>
      </c>
      <c r="C20" s="4" t="s">
        <v>36</v>
      </c>
      <c r="D20" s="4" t="str">
        <f t="shared" si="4"/>
        <v>1160.41</v>
      </c>
      <c r="E20" s="4" t="str">
        <f t="shared" si="0"/>
        <v>842.45</v>
      </c>
      <c r="F20" s="4" t="str">
        <f t="shared" si="1"/>
        <v>1161.57</v>
      </c>
      <c r="G20" s="4" t="str">
        <f t="shared" si="2"/>
        <v>842.39</v>
      </c>
      <c r="H20" s="4">
        <f t="shared" si="3"/>
        <v>1.1615506876583861</v>
      </c>
      <c r="I20" s="4">
        <v>2.063870750495584</v>
      </c>
    </row>
    <row r="21" spans="1:9" ht="16.2" thickBot="1" x14ac:dyDescent="0.3">
      <c r="A21" s="3">
        <v>20</v>
      </c>
      <c r="B21" s="4" t="s">
        <v>37</v>
      </c>
      <c r="C21" s="4" t="s">
        <v>38</v>
      </c>
      <c r="D21" s="4" t="str">
        <f t="shared" si="4"/>
        <v>1526.50</v>
      </c>
      <c r="E21" s="4" t="str">
        <f t="shared" si="0"/>
        <v>570.09</v>
      </c>
      <c r="F21" s="4" t="str">
        <f t="shared" si="1"/>
        <v>1527.40</v>
      </c>
      <c r="G21" s="4" t="str">
        <f t="shared" si="2"/>
        <v>570.37</v>
      </c>
      <c r="H21" s="4">
        <f t="shared" si="3"/>
        <v>0.94254973343593307</v>
      </c>
      <c r="I21" s="4">
        <v>2.063870750495584</v>
      </c>
    </row>
    <row r="22" spans="1:9" ht="16.2" thickBot="1" x14ac:dyDescent="0.3">
      <c r="A22" s="3">
        <v>21</v>
      </c>
      <c r="B22" s="4" t="s">
        <v>39</v>
      </c>
      <c r="C22" s="4" t="s">
        <v>40</v>
      </c>
      <c r="D22" s="4" t="str">
        <f t="shared" si="4"/>
        <v>1090.48</v>
      </c>
      <c r="E22" s="4" t="str">
        <f t="shared" si="0"/>
        <v>1813.91</v>
      </c>
      <c r="F22" s="4" t="str">
        <f t="shared" si="1"/>
        <v>1093.18</v>
      </c>
      <c r="G22" s="4" t="str">
        <f t="shared" si="2"/>
        <v>1813.23</v>
      </c>
      <c r="H22" s="4">
        <f t="shared" si="3"/>
        <v>2.7843132007732772</v>
      </c>
      <c r="I22" s="4">
        <v>2.063870750495584</v>
      </c>
    </row>
    <row r="23" spans="1:9" ht="16.2" thickBot="1" x14ac:dyDescent="0.3">
      <c r="A23" s="3">
        <v>22</v>
      </c>
      <c r="B23" s="4" t="s">
        <v>41</v>
      </c>
      <c r="C23" s="4" t="s">
        <v>42</v>
      </c>
      <c r="D23" s="4" t="str">
        <f t="shared" si="4"/>
        <v>1459.36</v>
      </c>
      <c r="E23" s="4" t="str">
        <f t="shared" si="0"/>
        <v>1799.18</v>
      </c>
      <c r="F23" s="4" t="str">
        <f t="shared" si="1"/>
        <v>1461.09</v>
      </c>
      <c r="G23" s="4" t="str">
        <f t="shared" si="2"/>
        <v>1799.88</v>
      </c>
      <c r="H23" s="4">
        <f t="shared" si="3"/>
        <v>1.8662529303393274</v>
      </c>
      <c r="I23" s="4">
        <v>2.063870750495584</v>
      </c>
    </row>
    <row r="24" spans="1:9" ht="16.2" thickBot="1" x14ac:dyDescent="0.3">
      <c r="A24" s="3">
        <v>23</v>
      </c>
      <c r="B24" s="4" t="s">
        <v>43</v>
      </c>
      <c r="C24" s="4" t="s">
        <v>44</v>
      </c>
      <c r="D24" s="4" t="str">
        <f t="shared" si="4"/>
        <v>1814.83</v>
      </c>
      <c r="E24" s="4" t="str">
        <f t="shared" si="0"/>
        <v>1693.94</v>
      </c>
      <c r="F24" s="4" t="str">
        <f t="shared" si="1"/>
        <v>1816.86</v>
      </c>
      <c r="G24" s="4" t="str">
        <f t="shared" si="2"/>
        <v>1691.57</v>
      </c>
      <c r="H24" s="4">
        <f t="shared" si="3"/>
        <v>3.1205448242254832</v>
      </c>
      <c r="I24" s="4">
        <v>2.063870750495584</v>
      </c>
    </row>
    <row r="25" spans="1:9" ht="16.2" thickBot="1" x14ac:dyDescent="0.3">
      <c r="A25" s="3">
        <v>24</v>
      </c>
      <c r="B25" s="4" t="s">
        <v>45</v>
      </c>
      <c r="C25" s="4" t="s">
        <v>46</v>
      </c>
      <c r="D25" s="4" t="str">
        <f t="shared" si="4"/>
        <v>823.40</v>
      </c>
      <c r="E25" s="4" t="str">
        <f t="shared" si="0"/>
        <v>1503.06</v>
      </c>
      <c r="F25" s="4" t="str">
        <f t="shared" si="1"/>
        <v>825.65</v>
      </c>
      <c r="G25" s="4" t="str">
        <f t="shared" si="2"/>
        <v>1504.43</v>
      </c>
      <c r="H25" s="4">
        <f t="shared" si="3"/>
        <v>2.6342740935598035</v>
      </c>
      <c r="I25" s="4">
        <v>2.063870750495584</v>
      </c>
    </row>
    <row r="26" spans="1:9" ht="16.2" thickBot="1" x14ac:dyDescent="0.3">
      <c r="A26" s="3">
        <v>25</v>
      </c>
      <c r="B26" s="4" t="s">
        <v>47</v>
      </c>
      <c r="C26" s="4" t="s">
        <v>48</v>
      </c>
      <c r="D26" s="4" t="str">
        <f t="shared" si="4"/>
        <v>1471.33</v>
      </c>
      <c r="E26" s="4" t="str">
        <f t="shared" si="0"/>
        <v>1429.11</v>
      </c>
      <c r="F26" s="4" t="str">
        <f t="shared" si="1"/>
        <v>1472.74</v>
      </c>
      <c r="G26" s="4" t="str">
        <f t="shared" si="2"/>
        <v>1430.32</v>
      </c>
      <c r="H26" s="4">
        <f t="shared" si="3"/>
        <v>1.8580096878112125</v>
      </c>
      <c r="I26" s="4">
        <v>2.063870750495584</v>
      </c>
    </row>
    <row r="27" spans="1:9" ht="16.2" thickBot="1" x14ac:dyDescent="0.3">
      <c r="A27" s="3">
        <v>26</v>
      </c>
      <c r="B27" s="4" t="s">
        <v>49</v>
      </c>
      <c r="C27" s="4" t="s">
        <v>50</v>
      </c>
      <c r="D27" s="4" t="str">
        <f t="shared" si="4"/>
        <v>1109.76</v>
      </c>
      <c r="E27" s="4" t="str">
        <f t="shared" si="0"/>
        <v>1336.51</v>
      </c>
      <c r="F27" s="4" t="str">
        <f t="shared" si="1"/>
        <v>1111.68</v>
      </c>
      <c r="G27" s="4" t="str">
        <f t="shared" si="2"/>
        <v>1336.41</v>
      </c>
      <c r="H27" s="4">
        <f t="shared" si="3"/>
        <v>1.9226024029945092</v>
      </c>
      <c r="I27" s="4">
        <v>2.063870750495584</v>
      </c>
    </row>
    <row r="28" spans="1:9" ht="16.2" thickBot="1" x14ac:dyDescent="0.3">
      <c r="A28" s="3">
        <v>27</v>
      </c>
      <c r="B28" s="4" t="s">
        <v>51</v>
      </c>
      <c r="C28" s="4" t="s">
        <v>52</v>
      </c>
      <c r="D28" s="4" t="str">
        <f t="shared" si="4"/>
        <v>1896.87</v>
      </c>
      <c r="E28" s="4" t="str">
        <f t="shared" si="0"/>
        <v>1325.63</v>
      </c>
      <c r="F28" s="4" t="str">
        <f t="shared" si="1"/>
        <v>1896.16</v>
      </c>
      <c r="G28" s="4" t="str">
        <f t="shared" si="2"/>
        <v>1327.60</v>
      </c>
      <c r="H28" s="4">
        <f t="shared" si="3"/>
        <v>2.0940391591369396</v>
      </c>
      <c r="I28" s="4">
        <v>2.063870750495584</v>
      </c>
    </row>
    <row r="29" spans="1:9" ht="16.2" thickBot="1" x14ac:dyDescent="0.3">
      <c r="A29" s="3">
        <v>28</v>
      </c>
      <c r="B29" s="4" t="s">
        <v>53</v>
      </c>
      <c r="C29" s="4" t="s">
        <v>54</v>
      </c>
      <c r="D29" s="4" t="str">
        <f t="shared" si="4"/>
        <v>759.27</v>
      </c>
      <c r="E29" s="4" t="str">
        <f t="shared" si="0"/>
        <v>1098.83</v>
      </c>
      <c r="F29" s="4" t="str">
        <f t="shared" si="1"/>
        <v>762.95</v>
      </c>
      <c r="G29" s="4" t="str">
        <f t="shared" si="2"/>
        <v>1098.38</v>
      </c>
      <c r="H29" s="4">
        <f t="shared" si="3"/>
        <v>3.7074114959092825</v>
      </c>
      <c r="I29" s="4">
        <v>2.063870750495584</v>
      </c>
    </row>
    <row r="30" spans="1:9" ht="16.2" thickBot="1" x14ac:dyDescent="0.3">
      <c r="A30" s="3">
        <v>29</v>
      </c>
      <c r="B30" s="4" t="s">
        <v>55</v>
      </c>
      <c r="C30" s="4" t="s">
        <v>56</v>
      </c>
      <c r="D30" s="4" t="str">
        <f t="shared" si="4"/>
        <v>1674.07</v>
      </c>
      <c r="E30" s="4" t="str">
        <f t="shared" si="0"/>
        <v>1085.47</v>
      </c>
      <c r="F30" s="4" t="str">
        <f t="shared" si="1"/>
        <v>1676.67</v>
      </c>
      <c r="G30" s="4" t="str">
        <f t="shared" si="2"/>
        <v>1086.13</v>
      </c>
      <c r="H30" s="4">
        <f t="shared" si="3"/>
        <v>2.6824615561086458</v>
      </c>
      <c r="I30" s="4">
        <v>2.063870750495584</v>
      </c>
    </row>
    <row r="31" spans="1:9" ht="16.8" thickBot="1" x14ac:dyDescent="0.3">
      <c r="A31" s="3">
        <v>30</v>
      </c>
      <c r="B31" s="4" t="s">
        <v>57</v>
      </c>
      <c r="C31" s="4" t="s">
        <v>58</v>
      </c>
      <c r="D31" s="4" t="str">
        <f t="shared" si="4"/>
        <v>1221.31</v>
      </c>
      <c r="E31" s="4" t="str">
        <f t="shared" si="0"/>
        <v xml:space="preserve"> 973.02</v>
      </c>
      <c r="F31" s="4" t="str">
        <f t="shared" si="1"/>
        <v>1222.20</v>
      </c>
      <c r="G31" s="4" t="str">
        <f t="shared" si="2"/>
        <v>973.86</v>
      </c>
      <c r="H31" s="4">
        <f t="shared" si="3"/>
        <v>1.2238055401084895</v>
      </c>
      <c r="I31" s="4">
        <v>2.063870750495584</v>
      </c>
    </row>
    <row r="32" spans="1:9" s="3" customFormat="1" ht="14.4" customHeight="1" thickBot="1" x14ac:dyDescent="0.3">
      <c r="A32" s="3" t="s">
        <v>69</v>
      </c>
      <c r="B32" s="3" t="s">
        <v>60</v>
      </c>
      <c r="C32" s="3" t="s">
        <v>60</v>
      </c>
      <c r="D32" s="3" t="s">
        <v>60</v>
      </c>
      <c r="E32" s="3" t="s">
        <v>60</v>
      </c>
      <c r="F32" s="3" t="s">
        <v>60</v>
      </c>
      <c r="G32" s="3" t="s">
        <v>60</v>
      </c>
      <c r="H32" s="3">
        <f>AVERAGE(H2:H31)</f>
        <v>2.063870750495584</v>
      </c>
      <c r="I32" s="3">
        <v>2.063870750495584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2025-04-18T08:49:14Z</dcterms:created>
  <dcterms:modified xsi:type="dcterms:W3CDTF">2026-02-23T03:02:48Z</dcterms:modified>
</cp:coreProperties>
</file>