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o X21A\我的研究生\科研项目\OpenCV蜂鸣器正负极识别\小论文\我的论文\投稿版\PLOS One\修改提交\图表数据\"/>
    </mc:Choice>
  </mc:AlternateContent>
  <xr:revisionPtr revIDLastSave="0" documentId="8_{BE27AA33-3725-4DFE-A0BC-672A4EBEF03C}" xr6:coauthVersionLast="47" xr6:coauthVersionMax="47" xr10:uidLastSave="{00000000-0000-0000-0000-000000000000}"/>
  <bookViews>
    <workbookView xWindow="-108" yWindow="-108" windowWidth="23256" windowHeight="12576" xr2:uid="{FE177928-BE59-4A67-839E-445047C740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" i="1" l="1"/>
  <c r="F61" i="1"/>
  <c r="E61" i="1"/>
  <c r="D61" i="1"/>
  <c r="H61" i="1" s="1"/>
  <c r="G60" i="1"/>
  <c r="F60" i="1"/>
  <c r="E60" i="1"/>
  <c r="D60" i="1"/>
  <c r="H60" i="1" s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G2" i="1"/>
  <c r="F2" i="1"/>
  <c r="E2" i="1"/>
  <c r="D2" i="1"/>
  <c r="H2" i="1" l="1"/>
  <c r="H3" i="1"/>
  <c r="H6" i="1"/>
  <c r="H10" i="1"/>
  <c r="H14" i="1"/>
  <c r="H18" i="1"/>
  <c r="H22" i="1"/>
  <c r="H26" i="1"/>
  <c r="H30" i="1"/>
  <c r="H34" i="1"/>
  <c r="H38" i="1"/>
  <c r="H42" i="1"/>
  <c r="H50" i="1"/>
  <c r="I14" i="1"/>
  <c r="I18" i="1"/>
  <c r="I22" i="1"/>
  <c r="I26" i="1"/>
  <c r="I30" i="1"/>
  <c r="I34" i="1"/>
  <c r="I38" i="1"/>
  <c r="I42" i="1"/>
  <c r="I48" i="1"/>
  <c r="I6" i="1"/>
  <c r="I10" i="1"/>
  <c r="H45" i="1"/>
  <c r="I45" i="1"/>
  <c r="H13" i="1"/>
  <c r="H21" i="1"/>
  <c r="H25" i="1"/>
  <c r="H29" i="1"/>
  <c r="H33" i="1"/>
  <c r="H37" i="1"/>
  <c r="H41" i="1"/>
  <c r="H47" i="1"/>
  <c r="I50" i="1"/>
  <c r="H52" i="1"/>
  <c r="H54" i="1"/>
  <c r="H56" i="1"/>
  <c r="H58" i="1"/>
  <c r="H9" i="1"/>
  <c r="I5" i="1"/>
  <c r="I9" i="1"/>
  <c r="I13" i="1"/>
  <c r="I17" i="1"/>
  <c r="I21" i="1"/>
  <c r="I25" i="1"/>
  <c r="I29" i="1"/>
  <c r="I33" i="1"/>
  <c r="I37" i="1"/>
  <c r="I41" i="1"/>
  <c r="H44" i="1"/>
  <c r="I47" i="1"/>
  <c r="I52" i="1"/>
  <c r="I54" i="1"/>
  <c r="I56" i="1"/>
  <c r="I58" i="1"/>
  <c r="I60" i="1"/>
  <c r="J60" i="1" s="1"/>
  <c r="L60" i="1" s="1"/>
  <c r="H8" i="1"/>
  <c r="H20" i="1"/>
  <c r="H24" i="1"/>
  <c r="H28" i="1"/>
  <c r="H32" i="1"/>
  <c r="H36" i="1"/>
  <c r="H40" i="1"/>
  <c r="I44" i="1"/>
  <c r="H49" i="1"/>
  <c r="H5" i="1"/>
  <c r="H12" i="1"/>
  <c r="H16" i="1"/>
  <c r="I4" i="1"/>
  <c r="I8" i="1"/>
  <c r="I12" i="1"/>
  <c r="I16" i="1"/>
  <c r="I20" i="1"/>
  <c r="I24" i="1"/>
  <c r="I28" i="1"/>
  <c r="I32" i="1"/>
  <c r="I36" i="1"/>
  <c r="I40" i="1"/>
  <c r="H46" i="1"/>
  <c r="I49" i="1"/>
  <c r="I3" i="1"/>
  <c r="J3" i="1" s="1"/>
  <c r="L3" i="1" s="1"/>
  <c r="H7" i="1"/>
  <c r="H11" i="1"/>
  <c r="H15" i="1"/>
  <c r="H19" i="1"/>
  <c r="H23" i="1"/>
  <c r="H27" i="1"/>
  <c r="H31" i="1"/>
  <c r="H35" i="1"/>
  <c r="H39" i="1"/>
  <c r="H43" i="1"/>
  <c r="I46" i="1"/>
  <c r="H51" i="1"/>
  <c r="H53" i="1"/>
  <c r="H55" i="1"/>
  <c r="H57" i="1"/>
  <c r="H59" i="1"/>
  <c r="H17" i="1"/>
  <c r="H4" i="1"/>
  <c r="I2" i="1"/>
  <c r="J2" i="1" s="1"/>
  <c r="L2" i="1" s="1"/>
  <c r="I7" i="1"/>
  <c r="I11" i="1"/>
  <c r="I15" i="1"/>
  <c r="I19" i="1"/>
  <c r="I23" i="1"/>
  <c r="I27" i="1"/>
  <c r="I31" i="1"/>
  <c r="I35" i="1"/>
  <c r="I39" i="1"/>
  <c r="I43" i="1"/>
  <c r="H48" i="1"/>
  <c r="J48" i="1" s="1"/>
  <c r="L48" i="1" s="1"/>
  <c r="I51" i="1"/>
  <c r="I53" i="1"/>
  <c r="I55" i="1"/>
  <c r="I57" i="1"/>
  <c r="I59" i="1"/>
  <c r="I61" i="1"/>
  <c r="J61" i="1" s="1"/>
  <c r="L61" i="1" s="1"/>
  <c r="J54" i="1" l="1"/>
  <c r="L54" i="1" s="1"/>
  <c r="J25" i="1"/>
  <c r="L25" i="1" s="1"/>
  <c r="J4" i="1"/>
  <c r="L4" i="1" s="1"/>
  <c r="J18" i="1"/>
  <c r="L18" i="1" s="1"/>
  <c r="J43" i="1"/>
  <c r="L43" i="1" s="1"/>
  <c r="J11" i="1"/>
  <c r="L11" i="1" s="1"/>
  <c r="J42" i="1"/>
  <c r="L42" i="1" s="1"/>
  <c r="J10" i="1"/>
  <c r="L10" i="1" s="1"/>
  <c r="J8" i="1"/>
  <c r="L8" i="1" s="1"/>
  <c r="J34" i="1"/>
  <c r="L34" i="1" s="1"/>
  <c r="J17" i="1"/>
  <c r="L17" i="1" s="1"/>
  <c r="J7" i="1"/>
  <c r="L7" i="1" s="1"/>
  <c r="J50" i="1"/>
  <c r="L50" i="1" s="1"/>
  <c r="J6" i="1"/>
  <c r="L6" i="1" s="1"/>
  <c r="J30" i="1"/>
  <c r="L30" i="1" s="1"/>
  <c r="J26" i="1"/>
  <c r="L26" i="1" s="1"/>
  <c r="J45" i="1"/>
  <c r="L45" i="1" s="1"/>
  <c r="J56" i="1"/>
  <c r="L56" i="1" s="1"/>
  <c r="J29" i="1"/>
  <c r="L29" i="1" s="1"/>
  <c r="J22" i="1"/>
  <c r="L22" i="1" s="1"/>
  <c r="J15" i="1"/>
  <c r="L15" i="1" s="1"/>
  <c r="J16" i="1"/>
  <c r="L16" i="1" s="1"/>
  <c r="J12" i="1"/>
  <c r="L12" i="1" s="1"/>
  <c r="J14" i="1"/>
  <c r="L14" i="1" s="1"/>
  <c r="J5" i="1"/>
  <c r="L5" i="1" s="1"/>
  <c r="J44" i="1"/>
  <c r="L44" i="1" s="1"/>
  <c r="J38" i="1"/>
  <c r="L38" i="1" s="1"/>
  <c r="J32" i="1"/>
  <c r="L32" i="1" s="1"/>
  <c r="J21" i="1"/>
  <c r="L21" i="1" s="1"/>
  <c r="J59" i="1"/>
  <c r="L59" i="1" s="1"/>
  <c r="J35" i="1"/>
  <c r="L35" i="1" s="1"/>
  <c r="J20" i="1"/>
  <c r="L20" i="1" s="1"/>
  <c r="J13" i="1"/>
  <c r="L13" i="1" s="1"/>
  <c r="J39" i="1"/>
  <c r="L39" i="1" s="1"/>
  <c r="J52" i="1"/>
  <c r="L52" i="1" s="1"/>
  <c r="J31" i="1"/>
  <c r="L31" i="1" s="1"/>
  <c r="J55" i="1"/>
  <c r="L55" i="1" s="1"/>
  <c r="J27" i="1"/>
  <c r="L27" i="1" s="1"/>
  <c r="J46" i="1"/>
  <c r="L46" i="1" s="1"/>
  <c r="J41" i="1"/>
  <c r="L41" i="1" s="1"/>
  <c r="J28" i="1"/>
  <c r="L28" i="1" s="1"/>
  <c r="J24" i="1"/>
  <c r="L24" i="1" s="1"/>
  <c r="J57" i="1"/>
  <c r="L57" i="1" s="1"/>
  <c r="J49" i="1"/>
  <c r="L49" i="1" s="1"/>
  <c r="J47" i="1"/>
  <c r="L47" i="1" s="1"/>
  <c r="J53" i="1"/>
  <c r="L53" i="1" s="1"/>
  <c r="J23" i="1"/>
  <c r="L23" i="1" s="1"/>
  <c r="J40" i="1"/>
  <c r="L40" i="1" s="1"/>
  <c r="J9" i="1"/>
  <c r="L9" i="1" s="1"/>
  <c r="J37" i="1"/>
  <c r="L37" i="1" s="1"/>
  <c r="J51" i="1"/>
  <c r="L51" i="1" s="1"/>
  <c r="J19" i="1"/>
  <c r="L19" i="1" s="1"/>
  <c r="J36" i="1"/>
  <c r="L36" i="1" s="1"/>
  <c r="J58" i="1"/>
  <c r="L58" i="1" s="1"/>
  <c r="J33" i="1"/>
  <c r="L33" i="1" s="1"/>
</calcChain>
</file>

<file path=xl/sharedStrings.xml><?xml version="1.0" encoding="utf-8"?>
<sst xmlns="http://schemas.openxmlformats.org/spreadsheetml/2006/main" count="143" uniqueCount="134">
  <si>
    <t>No.</t>
    <phoneticPr fontId="2" type="noConversion"/>
  </si>
  <si>
    <t>experimental value</t>
    <phoneticPr fontId="2" type="noConversion"/>
  </si>
  <si>
    <t>standard value</t>
    <phoneticPr fontId="2" type="noConversion"/>
  </si>
  <si>
    <t>experimental value of x</t>
    <phoneticPr fontId="2" type="noConversion"/>
  </si>
  <si>
    <t>experimental value of y</t>
    <phoneticPr fontId="2" type="noConversion"/>
  </si>
  <si>
    <t>standard value of x</t>
    <phoneticPr fontId="2" type="noConversion"/>
  </si>
  <si>
    <t>standard value of y</t>
    <phoneticPr fontId="2" type="noConversion"/>
  </si>
  <si>
    <t>error of x</t>
    <phoneticPr fontId="2" type="noConversion"/>
  </si>
  <si>
    <t>error of y</t>
    <phoneticPr fontId="2" type="noConversion"/>
  </si>
  <si>
    <t>product of eror</t>
    <phoneticPr fontId="2" type="noConversion"/>
  </si>
  <si>
    <t>area of electrode</t>
    <phoneticPr fontId="2" type="noConversion"/>
  </si>
  <si>
    <t>error</t>
    <phoneticPr fontId="2" type="noConversion"/>
  </si>
  <si>
    <t>(1724.06,1491.99)</t>
  </si>
  <si>
    <t>(1736.68,1467.14)</t>
  </si>
  <si>
    <t>(1865.51,1417.85)</t>
  </si>
  <si>
    <t>(1843.78,1408.07)</t>
  </si>
  <si>
    <t>(1280.26,1386.54)</t>
  </si>
  <si>
    <t>(1287.12,1382.58)</t>
  </si>
  <si>
    <t>(1406.54,1480.52)</t>
  </si>
  <si>
    <t>(1401.78,1472.46)</t>
  </si>
  <si>
    <t>(1079.56,1048.88)</t>
  </si>
  <si>
    <t>(1090.55,1061.25)</t>
  </si>
  <si>
    <t>(1114.64,1206.75)</t>
  </si>
  <si>
    <t>(1121.10,1200.84)</t>
  </si>
  <si>
    <t>(1990.03,1055.36)</t>
  </si>
  <si>
    <t>(1985.20,1056.62)</t>
  </si>
  <si>
    <t>(1887.71,930.83)</t>
  </si>
  <si>
    <t>(1889.07,941.08)</t>
  </si>
  <si>
    <t>(1500.33,857.31)</t>
  </si>
  <si>
    <t>(1490.73,887.25)</t>
  </si>
  <si>
    <t>(1366.20,942.67)</t>
  </si>
  <si>
    <t>(1387.33,954.02)</t>
  </si>
  <si>
    <t>(1844.67,766.69)</t>
  </si>
  <si>
    <t>(1836.48,759.51)</t>
  </si>
  <si>
    <t>(1790.44,614.63)</t>
  </si>
  <si>
    <r>
      <t>(1786.66,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sz val="12"/>
        <color theme="1"/>
        <rFont val="宋体"/>
        <family val="3"/>
        <charset val="134"/>
      </rPr>
      <t>619.61)</t>
    </r>
  </si>
  <si>
    <t>(859.38,1733.65)</t>
  </si>
  <si>
    <t>(839.67,1710.42)</t>
  </si>
  <si>
    <t>(871.10,1568.67)</t>
  </si>
  <si>
    <t>(851.34,1580.41)</t>
  </si>
  <si>
    <t>(1217.09,1569.04)</t>
  </si>
  <si>
    <t>(1235.48,1568.15)</t>
  </si>
  <si>
    <t>(1378.73,1630.20)</t>
  </si>
  <si>
    <t>(1376.48,1622.06)</t>
  </si>
  <si>
    <t>(675.24,1327.53)</t>
  </si>
  <si>
    <t>(670.95,1324.22)</t>
  </si>
  <si>
    <t>(764.64,1189.78)</t>
  </si>
  <si>
    <t>(755.59,1197.46)</t>
  </si>
  <si>
    <t>(1145.29,1159.76)</t>
  </si>
  <si>
    <t>(1138.36,1165.18)</t>
  </si>
  <si>
    <t>(1009.60,1061.32)</t>
  </si>
  <si>
    <t>(1013.50,1071.23)</t>
  </si>
  <si>
    <t>(1589.71,1024.56)</t>
  </si>
  <si>
    <t>(1584.99,1012.49)</t>
  </si>
  <si>
    <t>(1622.15,856.26)</t>
  </si>
  <si>
    <t>(1615.68,857.02)</t>
  </si>
  <si>
    <t>(1150.20,586.54)</t>
  </si>
  <si>
    <t>(1125.35,600.42)</t>
  </si>
  <si>
    <t>(986.51,553.47)</t>
  </si>
  <si>
    <t>(998.05,577.05)</t>
  </si>
  <si>
    <t>(1245.57,1630.75)</t>
  </si>
  <si>
    <t>(1245.48,1639.82)</t>
  </si>
  <si>
    <t>(1089.71,1686.17)</t>
  </si>
  <si>
    <t>(1104.83,1687.69)</t>
  </si>
  <si>
    <t>(1714.81,1753.66)</t>
  </si>
  <si>
    <t>(1724.13,1750.58)</t>
  </si>
  <si>
    <t>(1872.62,1696.85)</t>
  </si>
  <si>
    <t>(1864.00,1696.49)</t>
  </si>
  <si>
    <t>(1376.31,1425.64)</t>
  </si>
  <si>
    <t>(1409.21,1423.80)</t>
  </si>
  <si>
    <t>(1508.06,1526.51)</t>
  </si>
  <si>
    <t>(1511.27,1502.69)</t>
  </si>
  <si>
    <t>(649.68,1295.82)</t>
  </si>
  <si>
    <t>(654.41,1304.03)</t>
  </si>
  <si>
    <t>(568.79,1449.39)</t>
  </si>
  <si>
    <t>(583.71,1434.29)</t>
  </si>
  <si>
    <t>(1192.01,1291.20)</t>
  </si>
  <si>
    <t>(1186.25,1293.35)</t>
  </si>
  <si>
    <t>(1051.82,1202.57)</t>
  </si>
  <si>
    <t>(1058.79,1212.46)</t>
  </si>
  <si>
    <t>(1649.77,935.38)</t>
  </si>
  <si>
    <t>(1650.91,949.65)</t>
  </si>
  <si>
    <t>(1564.11,1079.81)</t>
  </si>
  <si>
    <t>(1571.28,1082.57)</t>
  </si>
  <si>
    <t>(1139.68,962.53)</t>
  </si>
  <si>
    <t>(1148.53,938.90)</t>
  </si>
  <si>
    <t>(1278.87,871.03)</t>
  </si>
  <si>
    <t>(1255.62,866.36)</t>
  </si>
  <si>
    <r>
      <t>(1412.07,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sz val="12"/>
        <color theme="1"/>
        <rFont val="宋体"/>
        <family val="3"/>
        <charset val="134"/>
      </rPr>
      <t>614.32)</t>
    </r>
  </si>
  <si>
    <t>(1419.93,613.85)</t>
  </si>
  <si>
    <t>(1563.46,686.89)</t>
  </si>
  <si>
    <t>(1560.08,682.10)</t>
  </si>
  <si>
    <t>(1138.98,1700.00)</t>
  </si>
  <si>
    <t>(1133.28,1714.09)</t>
  </si>
  <si>
    <t>(977.53,1763.22)</t>
  </si>
  <si>
    <t>(994.28,1768.24)</t>
  </si>
  <si>
    <t>(1490.41,1915.92)</t>
  </si>
  <si>
    <t>(1486.79,1885.44)</t>
  </si>
  <si>
    <t>(1517.86,1775.65)</t>
  </si>
  <si>
    <t>(1551.95,1776.78)</t>
  </si>
  <si>
    <t>(1935.59,1666.46)</t>
  </si>
  <si>
    <t>(1924.40,1662.58)</t>
  </si>
  <si>
    <t>(1797.24,1570.93)</t>
  </si>
  <si>
    <t>(1798.60,1574.53)</t>
  </si>
  <si>
    <t>(707.26,1480.13)</t>
  </si>
  <si>
    <t>(737.70,1491.11)</t>
  </si>
  <si>
    <t>(795.82,1618.09)</t>
  </si>
  <si>
    <t>(804.71,1597.99)</t>
  </si>
  <si>
    <t>(1566.51,1350.47)</t>
  </si>
  <si>
    <t>(1562.28,1355.12)</t>
  </si>
  <si>
    <t>(1401.65,1327.06)</t>
  </si>
  <si>
    <t>(1408.14,1333.76)</t>
  </si>
  <si>
    <t>(1180.81,1434.96)</t>
  </si>
  <si>
    <t>(1169.68,1411.97)</t>
  </si>
  <si>
    <t>(1212.56,1271.91)</t>
  </si>
  <si>
    <t>(1192.62,1284.76)</t>
  </si>
  <si>
    <t>(1929.56,1442.81)</t>
  </si>
  <si>
    <t>(1927.12,1434.84)</t>
  </si>
  <si>
    <t>(2015.50,1298.63)</t>
  </si>
  <si>
    <t>(2004.83,1301.76)</t>
  </si>
  <si>
    <t>(843.22,1004.79)</t>
  </si>
  <si>
    <t>(835.91,1013.66)</t>
  </si>
  <si>
    <t>(667.05,1012.88)</t>
  </si>
  <si>
    <t>(689.22,1019.75)</t>
  </si>
  <si>
    <t>(1763.63,1170.98)</t>
  </si>
  <si>
    <t>(1760.83,1170.06)</t>
  </si>
  <si>
    <t>(1766.59,1003.16)</t>
  </si>
  <si>
    <t>(1764.15,1011.38)</t>
  </si>
  <si>
    <r>
      <t>(1134.02,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sz val="12"/>
        <color theme="1"/>
        <rFont val="宋体"/>
        <family val="3"/>
        <charset val="134"/>
      </rPr>
      <t>888.96)</t>
    </r>
  </si>
  <si>
    <t>(1141.87,894.38)</t>
  </si>
  <si>
    <t>(1130.97,1053.80)</t>
  </si>
  <si>
    <t>(1135.76,1044.48)</t>
  </si>
  <si>
    <t>average error</t>
    <phoneticPr fontId="2" type="noConversion"/>
  </si>
  <si>
    <t>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</si>
</sst>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4044-4FD3-4417-93A6-9E41E63FA7D0}">
  <dimension ref="A1:L62"/>
  <sheetViews>
    <sheetView tabSelected="1" topLeftCell="C1" workbookViewId="0">
      <selection activeCell="N7" sqref="N7"/>
    </sheetView>
  </sheetViews>
  <sheetFormatPr defaultRowHeight="16.2" customHeight="1" x14ac:dyDescent="0.25"/>
  <cols>
    <col min="1" max="1" width="11.33203125" customWidth="1"/>
    <col min="2" max="2" width="22" customWidth="1"/>
    <col min="3" max="3" width="20.109375" customWidth="1"/>
    <col min="4" max="5" width="26.5546875" customWidth="1"/>
    <col min="6" max="7" width="22.6640625" customWidth="1"/>
    <col min="8" max="9" width="12.6640625" customWidth="1"/>
    <col min="10" max="10" width="18.33203125" customWidth="1"/>
    <col min="11" max="11" width="20.33203125" customWidth="1"/>
  </cols>
  <sheetData>
    <row r="1" spans="1:12" ht="16.2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2" customHeight="1" thickBot="1" x14ac:dyDescent="0.3">
      <c r="A2" s="5">
        <v>1</v>
      </c>
      <c r="B2" s="2" t="s">
        <v>12</v>
      </c>
      <c r="C2" s="2" t="s">
        <v>13</v>
      </c>
      <c r="D2" s="2" t="str">
        <f>LEFT(MID(B2, 2, LEN(B2) - 2), FIND(",", MID(B2, 2, LEN(B2) - 2)) - 1)</f>
        <v>1724.06</v>
      </c>
      <c r="E2" s="2" t="str">
        <f>MID(MID(B2, 2, LEN(B2) - 2), FIND(",", MID(B2, 2, LEN(B2) - 2)) + 1, LEN(MID(B2, 2, LEN(B2) - 2)))</f>
        <v>1491.99</v>
      </c>
      <c r="F2" s="2" t="str">
        <f>LEFT(MID(C2, 2, LEN(C2) - 2), FIND(",", MID(C2, 2, LEN(C2) - 2)) - 1)</f>
        <v>1736.68</v>
      </c>
      <c r="G2" s="2" t="str">
        <f>MID(MID(C2, 2, LEN(C2) - 2), FIND(",", MID(C2, 2, LEN(C2) - 2)) + 1, LEN(MID(C2, 2, LEN(C2) - 2)))</f>
        <v>1467.14</v>
      </c>
      <c r="H2" s="2">
        <f>ABS(F2-D2)</f>
        <v>12.620000000000118</v>
      </c>
      <c r="I2" s="2">
        <f>ABS(G2-E2)</f>
        <v>24.849999999999909</v>
      </c>
      <c r="J2" s="2">
        <f>H2*I2</f>
        <v>313.60700000000179</v>
      </c>
      <c r="K2" s="2">
        <v>6535</v>
      </c>
      <c r="L2" s="3">
        <f>J2/K2</f>
        <v>4.798882938026041E-2</v>
      </c>
    </row>
    <row r="3" spans="1:12" ht="16.2" customHeight="1" thickBot="1" x14ac:dyDescent="0.3">
      <c r="A3" s="4"/>
      <c r="B3" s="2" t="s">
        <v>14</v>
      </c>
      <c r="C3" s="2" t="s">
        <v>15</v>
      </c>
      <c r="D3" s="2" t="str">
        <f t="shared" ref="D3:D61" si="0">LEFT(MID(B3, 2, LEN(B3) - 2), FIND(",", MID(B3, 2, LEN(B3) - 2)) - 1)</f>
        <v>1865.51</v>
      </c>
      <c r="E3" s="2" t="str">
        <f t="shared" ref="E3:E61" si="1">MID(MID(B3, 2, LEN(B3) - 2), FIND(",", MID(B3, 2, LEN(B3) - 2)) + 1, LEN(MID(B3, 2, LEN(B3) - 2)))</f>
        <v>1417.85</v>
      </c>
      <c r="F3" s="2" t="str">
        <f t="shared" ref="F3:F61" si="2">LEFT(MID(C3, 2, LEN(C3) - 2), FIND(",", MID(C3, 2, LEN(C3) - 2)) - 1)</f>
        <v>1843.78</v>
      </c>
      <c r="G3" s="2" t="str">
        <f t="shared" ref="G3:G61" si="3">MID(MID(C3, 2, LEN(C3) - 2), FIND(",", MID(C3, 2, LEN(C3) - 2)) + 1, LEN(MID(C3, 2, LEN(C3) - 2)))</f>
        <v>1408.07</v>
      </c>
      <c r="H3" s="2">
        <f t="shared" ref="H3:I61" si="4">ABS(F3-D3)</f>
        <v>21.730000000000018</v>
      </c>
      <c r="I3" s="2">
        <f t="shared" si="4"/>
        <v>9.7799999999999727</v>
      </c>
      <c r="J3" s="2">
        <f t="shared" ref="J3:J61" si="5">H3*I3</f>
        <v>212.51939999999959</v>
      </c>
      <c r="K3" s="2">
        <v>6654</v>
      </c>
      <c r="L3" s="3">
        <f t="shared" ref="L3:L61" si="6">J3/K3</f>
        <v>3.1938593327321851E-2</v>
      </c>
    </row>
    <row r="4" spans="1:12" ht="16.2" customHeight="1" thickBot="1" x14ac:dyDescent="0.3">
      <c r="A4" s="5">
        <v>2</v>
      </c>
      <c r="B4" s="2" t="s">
        <v>16</v>
      </c>
      <c r="C4" s="2" t="s">
        <v>17</v>
      </c>
      <c r="D4" s="2" t="str">
        <f t="shared" si="0"/>
        <v>1280.26</v>
      </c>
      <c r="E4" s="2" t="str">
        <f t="shared" si="1"/>
        <v>1386.54</v>
      </c>
      <c r="F4" s="2" t="str">
        <f t="shared" si="2"/>
        <v>1287.12</v>
      </c>
      <c r="G4" s="2" t="str">
        <f t="shared" si="3"/>
        <v>1382.58</v>
      </c>
      <c r="H4" s="2">
        <f t="shared" si="4"/>
        <v>6.8599999999999</v>
      </c>
      <c r="I4" s="2">
        <f t="shared" si="4"/>
        <v>3.9600000000000364</v>
      </c>
      <c r="J4" s="2">
        <f t="shared" si="5"/>
        <v>27.165599999999852</v>
      </c>
      <c r="K4" s="2">
        <v>5021</v>
      </c>
      <c r="L4" s="3">
        <f t="shared" si="6"/>
        <v>5.4103963353913272E-3</v>
      </c>
    </row>
    <row r="5" spans="1:12" ht="16.2" customHeight="1" thickBot="1" x14ac:dyDescent="0.3">
      <c r="A5" s="4"/>
      <c r="B5" s="2" t="s">
        <v>18</v>
      </c>
      <c r="C5" s="2" t="s">
        <v>19</v>
      </c>
      <c r="D5" s="2" t="str">
        <f t="shared" si="0"/>
        <v>1406.54</v>
      </c>
      <c r="E5" s="2" t="str">
        <f t="shared" si="1"/>
        <v>1480.52</v>
      </c>
      <c r="F5" s="2" t="str">
        <f t="shared" si="2"/>
        <v>1401.78</v>
      </c>
      <c r="G5" s="2" t="str">
        <f t="shared" si="3"/>
        <v>1472.46</v>
      </c>
      <c r="H5" s="2">
        <f t="shared" si="4"/>
        <v>4.7599999999999909</v>
      </c>
      <c r="I5" s="2">
        <f t="shared" si="4"/>
        <v>8.0599999999999454</v>
      </c>
      <c r="J5" s="2">
        <f t="shared" si="5"/>
        <v>38.365599999999667</v>
      </c>
      <c r="K5" s="2">
        <v>5150</v>
      </c>
      <c r="L5" s="3">
        <f t="shared" si="6"/>
        <v>7.4496310679611003E-3</v>
      </c>
    </row>
    <row r="6" spans="1:12" ht="16.2" customHeight="1" thickBot="1" x14ac:dyDescent="0.3">
      <c r="A6" s="5">
        <v>3</v>
      </c>
      <c r="B6" s="2" t="s">
        <v>20</v>
      </c>
      <c r="C6" s="2" t="s">
        <v>21</v>
      </c>
      <c r="D6" s="2" t="str">
        <f t="shared" si="0"/>
        <v>1079.56</v>
      </c>
      <c r="E6" s="2" t="str">
        <f t="shared" si="1"/>
        <v>1048.88</v>
      </c>
      <c r="F6" s="2" t="str">
        <f t="shared" si="2"/>
        <v>1090.55</v>
      </c>
      <c r="G6" s="2" t="str">
        <f t="shared" si="3"/>
        <v>1061.25</v>
      </c>
      <c r="H6" s="2">
        <f t="shared" si="4"/>
        <v>10.990000000000009</v>
      </c>
      <c r="I6" s="2">
        <f t="shared" si="4"/>
        <v>12.369999999999891</v>
      </c>
      <c r="J6" s="2">
        <f t="shared" si="5"/>
        <v>135.9462999999989</v>
      </c>
      <c r="K6" s="2">
        <v>5380</v>
      </c>
      <c r="L6" s="3">
        <f t="shared" si="6"/>
        <v>2.5268828996282324E-2</v>
      </c>
    </row>
    <row r="7" spans="1:12" ht="16.2" customHeight="1" thickBot="1" x14ac:dyDescent="0.3">
      <c r="A7" s="4"/>
      <c r="B7" s="2" t="s">
        <v>22</v>
      </c>
      <c r="C7" s="2" t="s">
        <v>23</v>
      </c>
      <c r="D7" s="2" t="str">
        <f t="shared" si="0"/>
        <v>1114.64</v>
      </c>
      <c r="E7" s="2" t="str">
        <f t="shared" si="1"/>
        <v>1206.75</v>
      </c>
      <c r="F7" s="2" t="str">
        <f t="shared" si="2"/>
        <v>1121.10</v>
      </c>
      <c r="G7" s="2" t="str">
        <f t="shared" si="3"/>
        <v>1200.84</v>
      </c>
      <c r="H7" s="2">
        <f t="shared" si="4"/>
        <v>6.459999999999809</v>
      </c>
      <c r="I7" s="2">
        <f t="shared" si="4"/>
        <v>5.9100000000000819</v>
      </c>
      <c r="J7" s="2">
        <f t="shared" si="5"/>
        <v>38.178599999999399</v>
      </c>
      <c r="K7" s="2">
        <v>4846</v>
      </c>
      <c r="L7" s="3">
        <f t="shared" si="6"/>
        <v>7.8783739166321497E-3</v>
      </c>
    </row>
    <row r="8" spans="1:12" ht="16.2" customHeight="1" thickBot="1" x14ac:dyDescent="0.3">
      <c r="A8" s="5">
        <v>4</v>
      </c>
      <c r="B8" s="2" t="s">
        <v>24</v>
      </c>
      <c r="C8" s="2" t="s">
        <v>25</v>
      </c>
      <c r="D8" s="2" t="str">
        <f t="shared" si="0"/>
        <v>1990.03</v>
      </c>
      <c r="E8" s="2" t="str">
        <f t="shared" si="1"/>
        <v>1055.36</v>
      </c>
      <c r="F8" s="2" t="str">
        <f t="shared" si="2"/>
        <v>1985.20</v>
      </c>
      <c r="G8" s="2" t="str">
        <f t="shared" si="3"/>
        <v>1056.62</v>
      </c>
      <c r="H8" s="2">
        <f t="shared" si="4"/>
        <v>4.8299999999999272</v>
      </c>
      <c r="I8" s="2">
        <f t="shared" si="4"/>
        <v>1.2599999999999909</v>
      </c>
      <c r="J8" s="2">
        <f t="shared" si="5"/>
        <v>6.085799999999864</v>
      </c>
      <c r="K8" s="2">
        <v>6006</v>
      </c>
      <c r="L8" s="3">
        <f t="shared" si="6"/>
        <v>1.0132867132866907E-3</v>
      </c>
    </row>
    <row r="9" spans="1:12" ht="16.2" customHeight="1" thickBot="1" x14ac:dyDescent="0.3">
      <c r="A9" s="4"/>
      <c r="B9" s="2" t="s">
        <v>26</v>
      </c>
      <c r="C9" s="2" t="s">
        <v>27</v>
      </c>
      <c r="D9" s="2" t="str">
        <f t="shared" si="0"/>
        <v>1887.71</v>
      </c>
      <c r="E9" s="2" t="str">
        <f t="shared" si="1"/>
        <v>930.83</v>
      </c>
      <c r="F9" s="2" t="str">
        <f t="shared" si="2"/>
        <v>1889.07</v>
      </c>
      <c r="G9" s="2" t="str">
        <f t="shared" si="3"/>
        <v>941.08</v>
      </c>
      <c r="H9" s="2">
        <f t="shared" si="4"/>
        <v>1.3599999999999</v>
      </c>
      <c r="I9" s="2">
        <f t="shared" si="4"/>
        <v>10.25</v>
      </c>
      <c r="J9" s="2">
        <f t="shared" si="5"/>
        <v>13.939999999998975</v>
      </c>
      <c r="K9" s="2">
        <v>5907</v>
      </c>
      <c r="L9" s="3">
        <f t="shared" si="6"/>
        <v>2.3599119688503425E-3</v>
      </c>
    </row>
    <row r="10" spans="1:12" ht="16.2" customHeight="1" thickBot="1" x14ac:dyDescent="0.3">
      <c r="A10" s="5">
        <v>5</v>
      </c>
      <c r="B10" s="2" t="s">
        <v>28</v>
      </c>
      <c r="C10" s="2" t="s">
        <v>29</v>
      </c>
      <c r="D10" s="2" t="str">
        <f t="shared" si="0"/>
        <v>1500.33</v>
      </c>
      <c r="E10" s="2" t="str">
        <f t="shared" si="1"/>
        <v>857.31</v>
      </c>
      <c r="F10" s="2" t="str">
        <f t="shared" si="2"/>
        <v>1490.73</v>
      </c>
      <c r="G10" s="2" t="str">
        <f t="shared" si="3"/>
        <v>887.25</v>
      </c>
      <c r="H10" s="2">
        <f t="shared" si="4"/>
        <v>9.5999999999999091</v>
      </c>
      <c r="I10" s="2">
        <f t="shared" si="4"/>
        <v>29.940000000000055</v>
      </c>
      <c r="J10" s="2">
        <f t="shared" si="5"/>
        <v>287.42399999999782</v>
      </c>
      <c r="K10" s="2">
        <v>6486</v>
      </c>
      <c r="L10" s="3">
        <f t="shared" si="6"/>
        <v>4.4314523589268857E-2</v>
      </c>
    </row>
    <row r="11" spans="1:12" ht="16.2" customHeight="1" thickBot="1" x14ac:dyDescent="0.3">
      <c r="A11" s="4"/>
      <c r="B11" s="2" t="s">
        <v>30</v>
      </c>
      <c r="C11" s="2" t="s">
        <v>31</v>
      </c>
      <c r="D11" s="2" t="str">
        <f t="shared" si="0"/>
        <v>1366.20</v>
      </c>
      <c r="E11" s="2" t="str">
        <f t="shared" si="1"/>
        <v>942.67</v>
      </c>
      <c r="F11" s="2" t="str">
        <f t="shared" si="2"/>
        <v>1387.33</v>
      </c>
      <c r="G11" s="2" t="str">
        <f t="shared" si="3"/>
        <v>954.02</v>
      </c>
      <c r="H11" s="2">
        <f t="shared" si="4"/>
        <v>21.129999999999882</v>
      </c>
      <c r="I11" s="2">
        <f t="shared" si="4"/>
        <v>11.350000000000023</v>
      </c>
      <c r="J11" s="2">
        <f t="shared" si="5"/>
        <v>239.82549999999915</v>
      </c>
      <c r="K11" s="2">
        <v>6171</v>
      </c>
      <c r="L11" s="3">
        <f t="shared" si="6"/>
        <v>3.8863312267055444E-2</v>
      </c>
    </row>
    <row r="12" spans="1:12" ht="16.2" customHeight="1" thickBot="1" x14ac:dyDescent="0.3">
      <c r="A12" s="5">
        <v>6</v>
      </c>
      <c r="B12" s="2" t="s">
        <v>32</v>
      </c>
      <c r="C12" s="2" t="s">
        <v>33</v>
      </c>
      <c r="D12" s="2" t="str">
        <f t="shared" si="0"/>
        <v>1844.67</v>
      </c>
      <c r="E12" s="2" t="str">
        <f t="shared" si="1"/>
        <v>766.69</v>
      </c>
      <c r="F12" s="2" t="str">
        <f t="shared" si="2"/>
        <v>1836.48</v>
      </c>
      <c r="G12" s="2" t="str">
        <f t="shared" si="3"/>
        <v>759.51</v>
      </c>
      <c r="H12" s="2">
        <f t="shared" si="4"/>
        <v>8.1900000000000546</v>
      </c>
      <c r="I12" s="2">
        <f t="shared" si="4"/>
        <v>7.1800000000000637</v>
      </c>
      <c r="J12" s="2">
        <f t="shared" si="5"/>
        <v>58.804200000000911</v>
      </c>
      <c r="K12" s="2">
        <v>5951</v>
      </c>
      <c r="L12" s="3">
        <f t="shared" si="6"/>
        <v>9.8813980843557234E-3</v>
      </c>
    </row>
    <row r="13" spans="1:12" ht="16.2" customHeight="1" thickBot="1" x14ac:dyDescent="0.3">
      <c r="A13" s="4"/>
      <c r="B13" s="2" t="s">
        <v>34</v>
      </c>
      <c r="C13" s="2" t="s">
        <v>35</v>
      </c>
      <c r="D13" s="2" t="str">
        <f t="shared" si="0"/>
        <v>1790.44</v>
      </c>
      <c r="E13" s="2" t="str">
        <f t="shared" si="1"/>
        <v>614.63</v>
      </c>
      <c r="F13" s="2" t="str">
        <f t="shared" si="2"/>
        <v>1786.66</v>
      </c>
      <c r="G13" s="2" t="str">
        <f t="shared" si="3"/>
        <v xml:space="preserve"> 619.61</v>
      </c>
      <c r="H13" s="2">
        <f t="shared" si="4"/>
        <v>3.7799999999999727</v>
      </c>
      <c r="I13" s="2">
        <f t="shared" si="4"/>
        <v>4.9800000000000182</v>
      </c>
      <c r="J13" s="2">
        <f t="shared" si="5"/>
        <v>18.824399999999933</v>
      </c>
      <c r="K13" s="2">
        <v>5895</v>
      </c>
      <c r="L13" s="3">
        <f t="shared" si="6"/>
        <v>3.1932824427480804E-3</v>
      </c>
    </row>
    <row r="14" spans="1:12" ht="16.2" customHeight="1" thickBot="1" x14ac:dyDescent="0.3">
      <c r="A14" s="5">
        <v>7</v>
      </c>
      <c r="B14" s="2" t="s">
        <v>36</v>
      </c>
      <c r="C14" s="2" t="s">
        <v>37</v>
      </c>
      <c r="D14" s="2" t="str">
        <f t="shared" si="0"/>
        <v>859.38</v>
      </c>
      <c r="E14" s="2" t="str">
        <f t="shared" si="1"/>
        <v>1733.65</v>
      </c>
      <c r="F14" s="2" t="str">
        <f t="shared" si="2"/>
        <v>839.67</v>
      </c>
      <c r="G14" s="2" t="str">
        <f t="shared" si="3"/>
        <v>1710.42</v>
      </c>
      <c r="H14" s="2">
        <f t="shared" si="4"/>
        <v>19.710000000000036</v>
      </c>
      <c r="I14" s="2">
        <f t="shared" si="4"/>
        <v>23.230000000000018</v>
      </c>
      <c r="J14" s="2">
        <f t="shared" si="5"/>
        <v>457.86330000000123</v>
      </c>
      <c r="K14" s="2">
        <v>6820</v>
      </c>
      <c r="L14" s="3">
        <f t="shared" si="6"/>
        <v>6.7135381231671731E-2</v>
      </c>
    </row>
    <row r="15" spans="1:12" ht="16.2" customHeight="1" thickBot="1" x14ac:dyDescent="0.3">
      <c r="A15" s="4"/>
      <c r="B15" s="2" t="s">
        <v>38</v>
      </c>
      <c r="C15" s="2" t="s">
        <v>39</v>
      </c>
      <c r="D15" s="2" t="str">
        <f t="shared" si="0"/>
        <v>871.10</v>
      </c>
      <c r="E15" s="2" t="str">
        <f t="shared" si="1"/>
        <v>1568.67</v>
      </c>
      <c r="F15" s="2" t="str">
        <f t="shared" si="2"/>
        <v>851.34</v>
      </c>
      <c r="G15" s="2" t="str">
        <f t="shared" si="3"/>
        <v>1580.41</v>
      </c>
      <c r="H15" s="2">
        <f t="shared" si="4"/>
        <v>19.759999999999991</v>
      </c>
      <c r="I15" s="2">
        <f t="shared" si="4"/>
        <v>11.740000000000009</v>
      </c>
      <c r="J15" s="2">
        <f t="shared" si="5"/>
        <v>231.98240000000007</v>
      </c>
      <c r="K15" s="2">
        <v>7357</v>
      </c>
      <c r="L15" s="3">
        <f t="shared" si="6"/>
        <v>3.1532200625254872E-2</v>
      </c>
    </row>
    <row r="16" spans="1:12" ht="16.2" customHeight="1" thickBot="1" x14ac:dyDescent="0.3">
      <c r="A16" s="5">
        <v>8</v>
      </c>
      <c r="B16" s="2" t="s">
        <v>40</v>
      </c>
      <c r="C16" s="2" t="s">
        <v>41</v>
      </c>
      <c r="D16" s="2" t="str">
        <f t="shared" si="0"/>
        <v>1217.09</v>
      </c>
      <c r="E16" s="2" t="str">
        <f t="shared" si="1"/>
        <v>1569.04</v>
      </c>
      <c r="F16" s="2" t="str">
        <f t="shared" si="2"/>
        <v>1235.48</v>
      </c>
      <c r="G16" s="2" t="str">
        <f t="shared" si="3"/>
        <v>1568.15</v>
      </c>
      <c r="H16" s="2">
        <f t="shared" si="4"/>
        <v>18.3900000000001</v>
      </c>
      <c r="I16" s="2">
        <f t="shared" si="4"/>
        <v>0.88999999999987267</v>
      </c>
      <c r="J16" s="2">
        <f t="shared" si="5"/>
        <v>16.367099999997748</v>
      </c>
      <c r="K16" s="2">
        <v>6119</v>
      </c>
      <c r="L16" s="3">
        <f t="shared" si="6"/>
        <v>2.6747998038891565E-3</v>
      </c>
    </row>
    <row r="17" spans="1:12" ht="16.2" customHeight="1" thickBot="1" x14ac:dyDescent="0.3">
      <c r="A17" s="4"/>
      <c r="B17" s="2" t="s">
        <v>42</v>
      </c>
      <c r="C17" s="2" t="s">
        <v>43</v>
      </c>
      <c r="D17" s="2" t="str">
        <f t="shared" si="0"/>
        <v>1378.73</v>
      </c>
      <c r="E17" s="2" t="str">
        <f t="shared" si="1"/>
        <v>1630.20</v>
      </c>
      <c r="F17" s="2" t="str">
        <f t="shared" si="2"/>
        <v>1376.48</v>
      </c>
      <c r="G17" s="2" t="str">
        <f t="shared" si="3"/>
        <v>1622.06</v>
      </c>
      <c r="H17" s="2">
        <f t="shared" si="4"/>
        <v>2.25</v>
      </c>
      <c r="I17" s="2">
        <f t="shared" si="4"/>
        <v>8.1400000000001</v>
      </c>
      <c r="J17" s="2">
        <f t="shared" si="5"/>
        <v>18.315000000000225</v>
      </c>
      <c r="K17" s="2">
        <v>6025</v>
      </c>
      <c r="L17" s="3">
        <f t="shared" si="6"/>
        <v>3.0398340248963028E-3</v>
      </c>
    </row>
    <row r="18" spans="1:12" ht="16.2" customHeight="1" thickBot="1" x14ac:dyDescent="0.3">
      <c r="A18" s="5">
        <v>9</v>
      </c>
      <c r="B18" s="2" t="s">
        <v>44</v>
      </c>
      <c r="C18" s="2" t="s">
        <v>45</v>
      </c>
      <c r="D18" s="2" t="str">
        <f t="shared" si="0"/>
        <v>675.24</v>
      </c>
      <c r="E18" s="2" t="str">
        <f t="shared" si="1"/>
        <v>1327.53</v>
      </c>
      <c r="F18" s="2" t="str">
        <f t="shared" si="2"/>
        <v>670.95</v>
      </c>
      <c r="G18" s="2" t="str">
        <f t="shared" si="3"/>
        <v>1324.22</v>
      </c>
      <c r="H18" s="2">
        <f t="shared" si="4"/>
        <v>4.2899999999999636</v>
      </c>
      <c r="I18" s="2">
        <f t="shared" si="4"/>
        <v>3.3099999999999454</v>
      </c>
      <c r="J18" s="2">
        <f t="shared" si="5"/>
        <v>14.199899999999646</v>
      </c>
      <c r="K18" s="2">
        <v>5848</v>
      </c>
      <c r="L18" s="3">
        <f t="shared" si="6"/>
        <v>2.428163474692142E-3</v>
      </c>
    </row>
    <row r="19" spans="1:12" ht="16.2" customHeight="1" thickBot="1" x14ac:dyDescent="0.3">
      <c r="A19" s="4"/>
      <c r="B19" s="2" t="s">
        <v>46</v>
      </c>
      <c r="C19" s="2" t="s">
        <v>47</v>
      </c>
      <c r="D19" s="2" t="str">
        <f t="shared" si="0"/>
        <v>764.64</v>
      </c>
      <c r="E19" s="2" t="str">
        <f t="shared" si="1"/>
        <v>1189.78</v>
      </c>
      <c r="F19" s="2" t="str">
        <f t="shared" si="2"/>
        <v>755.59</v>
      </c>
      <c r="G19" s="2" t="str">
        <f t="shared" si="3"/>
        <v>1197.46</v>
      </c>
      <c r="H19" s="2">
        <f t="shared" si="4"/>
        <v>9.0499999999999545</v>
      </c>
      <c r="I19" s="2">
        <f t="shared" si="4"/>
        <v>7.6800000000000637</v>
      </c>
      <c r="J19" s="2">
        <f t="shared" si="5"/>
        <v>69.504000000000232</v>
      </c>
      <c r="K19" s="2">
        <v>5643</v>
      </c>
      <c r="L19" s="3">
        <f t="shared" si="6"/>
        <v>1.231685273790541E-2</v>
      </c>
    </row>
    <row r="20" spans="1:12" ht="16.2" customHeight="1" thickBot="1" x14ac:dyDescent="0.3">
      <c r="A20" s="5">
        <v>10</v>
      </c>
      <c r="B20" s="2" t="s">
        <v>48</v>
      </c>
      <c r="C20" s="2" t="s">
        <v>49</v>
      </c>
      <c r="D20" s="2" t="str">
        <f t="shared" si="0"/>
        <v>1145.29</v>
      </c>
      <c r="E20" s="2" t="str">
        <f t="shared" si="1"/>
        <v>1159.76</v>
      </c>
      <c r="F20" s="2" t="str">
        <f t="shared" si="2"/>
        <v>1138.36</v>
      </c>
      <c r="G20" s="2" t="str">
        <f t="shared" si="3"/>
        <v>1165.18</v>
      </c>
      <c r="H20" s="2">
        <f t="shared" si="4"/>
        <v>6.9300000000000637</v>
      </c>
      <c r="I20" s="2">
        <f t="shared" si="4"/>
        <v>5.4200000000000728</v>
      </c>
      <c r="J20" s="2">
        <f t="shared" si="5"/>
        <v>37.560600000000846</v>
      </c>
      <c r="K20" s="2">
        <v>6007</v>
      </c>
      <c r="L20" s="3">
        <f t="shared" si="6"/>
        <v>6.2528050607625844E-3</v>
      </c>
    </row>
    <row r="21" spans="1:12" ht="16.2" customHeight="1" thickBot="1" x14ac:dyDescent="0.3">
      <c r="A21" s="4"/>
      <c r="B21" s="2" t="s">
        <v>50</v>
      </c>
      <c r="C21" s="2" t="s">
        <v>51</v>
      </c>
      <c r="D21" s="2" t="str">
        <f t="shared" si="0"/>
        <v>1009.60</v>
      </c>
      <c r="E21" s="2" t="str">
        <f t="shared" si="1"/>
        <v>1061.32</v>
      </c>
      <c r="F21" s="2" t="str">
        <f t="shared" si="2"/>
        <v>1013.50</v>
      </c>
      <c r="G21" s="2" t="str">
        <f t="shared" si="3"/>
        <v>1071.23</v>
      </c>
      <c r="H21" s="2">
        <f t="shared" si="4"/>
        <v>3.8999999999999773</v>
      </c>
      <c r="I21" s="2">
        <f t="shared" si="4"/>
        <v>9.9100000000000819</v>
      </c>
      <c r="J21" s="2">
        <f t="shared" si="5"/>
        <v>38.649000000000093</v>
      </c>
      <c r="K21" s="2">
        <v>5589</v>
      </c>
      <c r="L21" s="3">
        <f t="shared" si="6"/>
        <v>6.9151905528717292E-3</v>
      </c>
    </row>
    <row r="22" spans="1:12" ht="16.2" customHeight="1" thickBot="1" x14ac:dyDescent="0.3">
      <c r="A22" s="5">
        <v>11</v>
      </c>
      <c r="B22" s="2" t="s">
        <v>52</v>
      </c>
      <c r="C22" s="2" t="s">
        <v>53</v>
      </c>
      <c r="D22" s="2" t="str">
        <f t="shared" si="0"/>
        <v>1589.71</v>
      </c>
      <c r="E22" s="2" t="str">
        <f t="shared" si="1"/>
        <v>1024.56</v>
      </c>
      <c r="F22" s="2" t="str">
        <f t="shared" si="2"/>
        <v>1584.99</v>
      </c>
      <c r="G22" s="2" t="str">
        <f t="shared" si="3"/>
        <v>1012.49</v>
      </c>
      <c r="H22" s="2">
        <f t="shared" si="4"/>
        <v>4.7200000000000273</v>
      </c>
      <c r="I22" s="2">
        <f t="shared" si="4"/>
        <v>12.069999999999936</v>
      </c>
      <c r="J22" s="2">
        <f t="shared" si="5"/>
        <v>56.970400000000026</v>
      </c>
      <c r="K22" s="2">
        <v>6196</v>
      </c>
      <c r="L22" s="3">
        <f t="shared" si="6"/>
        <v>9.1947062621045884E-3</v>
      </c>
    </row>
    <row r="23" spans="1:12" ht="16.2" customHeight="1" thickBot="1" x14ac:dyDescent="0.3">
      <c r="A23" s="4"/>
      <c r="B23" s="2" t="s">
        <v>54</v>
      </c>
      <c r="C23" s="2" t="s">
        <v>55</v>
      </c>
      <c r="D23" s="2" t="str">
        <f t="shared" si="0"/>
        <v>1622.15</v>
      </c>
      <c r="E23" s="2" t="str">
        <f t="shared" si="1"/>
        <v>856.26</v>
      </c>
      <c r="F23" s="2" t="str">
        <f t="shared" si="2"/>
        <v>1615.68</v>
      </c>
      <c r="G23" s="2" t="str">
        <f t="shared" si="3"/>
        <v>857.02</v>
      </c>
      <c r="H23" s="2">
        <f t="shared" si="4"/>
        <v>6.4700000000000273</v>
      </c>
      <c r="I23" s="2">
        <f t="shared" si="4"/>
        <v>0.75999999999999091</v>
      </c>
      <c r="J23" s="2">
        <f t="shared" si="5"/>
        <v>4.917199999999962</v>
      </c>
      <c r="K23" s="2">
        <v>6379</v>
      </c>
      <c r="L23" s="3">
        <f t="shared" si="6"/>
        <v>7.7084182473741375E-4</v>
      </c>
    </row>
    <row r="24" spans="1:12" ht="16.2" customHeight="1" thickBot="1" x14ac:dyDescent="0.3">
      <c r="A24" s="5">
        <v>12</v>
      </c>
      <c r="B24" s="2" t="s">
        <v>56</v>
      </c>
      <c r="C24" s="2" t="s">
        <v>57</v>
      </c>
      <c r="D24" s="2" t="str">
        <f t="shared" si="0"/>
        <v>1150.20</v>
      </c>
      <c r="E24" s="2" t="str">
        <f t="shared" si="1"/>
        <v>586.54</v>
      </c>
      <c r="F24" s="2" t="str">
        <f t="shared" si="2"/>
        <v>1125.35</v>
      </c>
      <c r="G24" s="2" t="str">
        <f t="shared" si="3"/>
        <v>600.42</v>
      </c>
      <c r="H24" s="2">
        <f t="shared" si="4"/>
        <v>24.850000000000136</v>
      </c>
      <c r="I24" s="2">
        <f t="shared" si="4"/>
        <v>13.879999999999995</v>
      </c>
      <c r="J24" s="2">
        <f t="shared" si="5"/>
        <v>344.91800000000177</v>
      </c>
      <c r="K24" s="2">
        <v>6845</v>
      </c>
      <c r="L24" s="3">
        <f t="shared" si="6"/>
        <v>5.038977355734138E-2</v>
      </c>
    </row>
    <row r="25" spans="1:12" ht="16.2" customHeight="1" thickBot="1" x14ac:dyDescent="0.3">
      <c r="A25" s="4"/>
      <c r="B25" s="2" t="s">
        <v>58</v>
      </c>
      <c r="C25" s="2" t="s">
        <v>59</v>
      </c>
      <c r="D25" s="2" t="str">
        <f t="shared" si="0"/>
        <v>986.51</v>
      </c>
      <c r="E25" s="2" t="str">
        <f t="shared" si="1"/>
        <v>553.47</v>
      </c>
      <c r="F25" s="2" t="str">
        <f t="shared" si="2"/>
        <v>998.05</v>
      </c>
      <c r="G25" s="2" t="str">
        <f t="shared" si="3"/>
        <v>577.05</v>
      </c>
      <c r="H25" s="2">
        <f t="shared" si="4"/>
        <v>11.539999999999964</v>
      </c>
      <c r="I25" s="2">
        <f t="shared" si="4"/>
        <v>23.579999999999927</v>
      </c>
      <c r="J25" s="2">
        <f t="shared" si="5"/>
        <v>272.1131999999983</v>
      </c>
      <c r="K25" s="2">
        <v>7244</v>
      </c>
      <c r="L25" s="3">
        <f t="shared" si="6"/>
        <v>3.7563942573163762E-2</v>
      </c>
    </row>
    <row r="26" spans="1:12" ht="16.2" customHeight="1" thickBot="1" x14ac:dyDescent="0.3">
      <c r="A26" s="5">
        <v>13</v>
      </c>
      <c r="B26" s="2" t="s">
        <v>60</v>
      </c>
      <c r="C26" s="2" t="s">
        <v>61</v>
      </c>
      <c r="D26" s="2" t="str">
        <f t="shared" si="0"/>
        <v>1245.57</v>
      </c>
      <c r="E26" s="2" t="str">
        <f t="shared" si="1"/>
        <v>1630.75</v>
      </c>
      <c r="F26" s="2" t="str">
        <f t="shared" si="2"/>
        <v>1245.48</v>
      </c>
      <c r="G26" s="2" t="str">
        <f t="shared" si="3"/>
        <v>1639.82</v>
      </c>
      <c r="H26" s="2">
        <f t="shared" si="4"/>
        <v>8.9999999999918145E-2</v>
      </c>
      <c r="I26" s="2">
        <f t="shared" si="4"/>
        <v>9.0699999999999363</v>
      </c>
      <c r="J26" s="2">
        <f t="shared" si="5"/>
        <v>0.81629999999925185</v>
      </c>
      <c r="K26" s="2">
        <v>5363</v>
      </c>
      <c r="L26" s="3">
        <f t="shared" si="6"/>
        <v>1.52209584187815E-4</v>
      </c>
    </row>
    <row r="27" spans="1:12" ht="16.2" customHeight="1" thickBot="1" x14ac:dyDescent="0.3">
      <c r="A27" s="4"/>
      <c r="B27" s="2" t="s">
        <v>62</v>
      </c>
      <c r="C27" s="2" t="s">
        <v>63</v>
      </c>
      <c r="D27" s="2" t="str">
        <f t="shared" si="0"/>
        <v>1089.71</v>
      </c>
      <c r="E27" s="2" t="str">
        <f t="shared" si="1"/>
        <v>1686.17</v>
      </c>
      <c r="F27" s="2" t="str">
        <f t="shared" si="2"/>
        <v>1104.83</v>
      </c>
      <c r="G27" s="2" t="str">
        <f t="shared" si="3"/>
        <v>1687.69</v>
      </c>
      <c r="H27" s="2">
        <f t="shared" si="4"/>
        <v>15.119999999999891</v>
      </c>
      <c r="I27" s="2">
        <f t="shared" si="4"/>
        <v>1.5199999999999818</v>
      </c>
      <c r="J27" s="2">
        <f t="shared" si="5"/>
        <v>22.982399999999558</v>
      </c>
      <c r="K27" s="2">
        <v>5342</v>
      </c>
      <c r="L27" s="3">
        <f t="shared" si="6"/>
        <v>4.3022089105203215E-3</v>
      </c>
    </row>
    <row r="28" spans="1:12" ht="16.2" customHeight="1" thickBot="1" x14ac:dyDescent="0.3">
      <c r="A28" s="5">
        <v>14</v>
      </c>
      <c r="B28" s="2" t="s">
        <v>64</v>
      </c>
      <c r="C28" s="2" t="s">
        <v>65</v>
      </c>
      <c r="D28" s="2" t="str">
        <f t="shared" si="0"/>
        <v>1714.81</v>
      </c>
      <c r="E28" s="2" t="str">
        <f t="shared" si="1"/>
        <v>1753.66</v>
      </c>
      <c r="F28" s="2" t="str">
        <f t="shared" si="2"/>
        <v>1724.13</v>
      </c>
      <c r="G28" s="2" t="str">
        <f t="shared" si="3"/>
        <v>1750.58</v>
      </c>
      <c r="H28" s="2">
        <f t="shared" si="4"/>
        <v>9.3200000000001637</v>
      </c>
      <c r="I28" s="2">
        <f t="shared" si="4"/>
        <v>3.0800000000001546</v>
      </c>
      <c r="J28" s="2">
        <f t="shared" si="5"/>
        <v>28.705600000001944</v>
      </c>
      <c r="K28" s="2">
        <v>5489</v>
      </c>
      <c r="L28" s="3">
        <f t="shared" si="6"/>
        <v>5.2296593186376287E-3</v>
      </c>
    </row>
    <row r="29" spans="1:12" ht="16.2" customHeight="1" thickBot="1" x14ac:dyDescent="0.3">
      <c r="A29" s="4"/>
      <c r="B29" s="2" t="s">
        <v>66</v>
      </c>
      <c r="C29" s="2" t="s">
        <v>67</v>
      </c>
      <c r="D29" s="2" t="str">
        <f t="shared" si="0"/>
        <v>1872.62</v>
      </c>
      <c r="E29" s="2" t="str">
        <f t="shared" si="1"/>
        <v>1696.85</v>
      </c>
      <c r="F29" s="2" t="str">
        <f t="shared" si="2"/>
        <v>1864.00</v>
      </c>
      <c r="G29" s="2" t="str">
        <f t="shared" si="3"/>
        <v>1696.49</v>
      </c>
      <c r="H29" s="2">
        <f t="shared" si="4"/>
        <v>8.6199999999998909</v>
      </c>
      <c r="I29" s="2">
        <f t="shared" si="4"/>
        <v>0.35999999999989996</v>
      </c>
      <c r="J29" s="2">
        <f t="shared" si="5"/>
        <v>3.1031999999990982</v>
      </c>
      <c r="K29" s="2">
        <v>5679</v>
      </c>
      <c r="L29" s="3">
        <f t="shared" si="6"/>
        <v>5.4643423137860512E-4</v>
      </c>
    </row>
    <row r="30" spans="1:12" ht="16.2" customHeight="1" thickBot="1" x14ac:dyDescent="0.3">
      <c r="A30" s="5">
        <v>15</v>
      </c>
      <c r="B30" s="2" t="s">
        <v>68</v>
      </c>
      <c r="C30" s="2" t="s">
        <v>69</v>
      </c>
      <c r="D30" s="2" t="str">
        <f t="shared" si="0"/>
        <v>1376.31</v>
      </c>
      <c r="E30" s="2" t="str">
        <f t="shared" si="1"/>
        <v>1425.64</v>
      </c>
      <c r="F30" s="2" t="str">
        <f t="shared" si="2"/>
        <v>1409.21</v>
      </c>
      <c r="G30" s="2" t="str">
        <f t="shared" si="3"/>
        <v>1423.80</v>
      </c>
      <c r="H30" s="2">
        <f t="shared" si="4"/>
        <v>32.900000000000091</v>
      </c>
      <c r="I30" s="2">
        <f t="shared" si="4"/>
        <v>1.8400000000001455</v>
      </c>
      <c r="J30" s="2">
        <f t="shared" si="5"/>
        <v>60.536000000004954</v>
      </c>
      <c r="K30" s="2">
        <v>7266</v>
      </c>
      <c r="L30" s="3">
        <f t="shared" si="6"/>
        <v>8.3314065510604121E-3</v>
      </c>
    </row>
    <row r="31" spans="1:12" ht="16.2" customHeight="1" thickBot="1" x14ac:dyDescent="0.3">
      <c r="A31" s="4"/>
      <c r="B31" s="2" t="s">
        <v>70</v>
      </c>
      <c r="C31" s="2" t="s">
        <v>71</v>
      </c>
      <c r="D31" s="2" t="str">
        <f t="shared" si="0"/>
        <v>1508.06</v>
      </c>
      <c r="E31" s="2" t="str">
        <f t="shared" si="1"/>
        <v>1526.51</v>
      </c>
      <c r="F31" s="2" t="str">
        <f t="shared" si="2"/>
        <v>1511.27</v>
      </c>
      <c r="G31" s="2" t="str">
        <f t="shared" si="3"/>
        <v>1502.69</v>
      </c>
      <c r="H31" s="2">
        <f t="shared" si="4"/>
        <v>3.2100000000000364</v>
      </c>
      <c r="I31" s="2">
        <f t="shared" si="4"/>
        <v>23.819999999999936</v>
      </c>
      <c r="J31" s="2">
        <f t="shared" si="5"/>
        <v>76.462200000000664</v>
      </c>
      <c r="K31" s="2">
        <v>6877</v>
      </c>
      <c r="L31" s="3">
        <f t="shared" si="6"/>
        <v>1.1118540061073238E-2</v>
      </c>
    </row>
    <row r="32" spans="1:12" ht="16.2" customHeight="1" thickBot="1" x14ac:dyDescent="0.3">
      <c r="A32" s="5">
        <v>16</v>
      </c>
      <c r="B32" s="2" t="s">
        <v>72</v>
      </c>
      <c r="C32" s="2" t="s">
        <v>73</v>
      </c>
      <c r="D32" s="2" t="str">
        <f t="shared" si="0"/>
        <v>649.68</v>
      </c>
      <c r="E32" s="2" t="str">
        <f t="shared" si="1"/>
        <v>1295.82</v>
      </c>
      <c r="F32" s="2" t="str">
        <f t="shared" si="2"/>
        <v>654.41</v>
      </c>
      <c r="G32" s="2" t="str">
        <f t="shared" si="3"/>
        <v>1304.03</v>
      </c>
      <c r="H32" s="2">
        <f t="shared" si="4"/>
        <v>4.7300000000000182</v>
      </c>
      <c r="I32" s="2">
        <f t="shared" si="4"/>
        <v>8.2100000000000364</v>
      </c>
      <c r="J32" s="2">
        <f t="shared" si="5"/>
        <v>38.833300000000321</v>
      </c>
      <c r="K32" s="2">
        <v>5610</v>
      </c>
      <c r="L32" s="3">
        <f t="shared" si="6"/>
        <v>6.9221568627451553E-3</v>
      </c>
    </row>
    <row r="33" spans="1:12" ht="16.2" customHeight="1" thickBot="1" x14ac:dyDescent="0.3">
      <c r="A33" s="4"/>
      <c r="B33" s="2" t="s">
        <v>74</v>
      </c>
      <c r="C33" s="2" t="s">
        <v>75</v>
      </c>
      <c r="D33" s="2" t="str">
        <f t="shared" si="0"/>
        <v>568.79</v>
      </c>
      <c r="E33" s="2" t="str">
        <f t="shared" si="1"/>
        <v>1449.39</v>
      </c>
      <c r="F33" s="2" t="str">
        <f t="shared" si="2"/>
        <v>583.71</v>
      </c>
      <c r="G33" s="2" t="str">
        <f t="shared" si="3"/>
        <v>1434.29</v>
      </c>
      <c r="H33" s="2">
        <f t="shared" si="4"/>
        <v>14.920000000000073</v>
      </c>
      <c r="I33" s="2">
        <f t="shared" si="4"/>
        <v>15.100000000000136</v>
      </c>
      <c r="J33" s="2">
        <f t="shared" si="5"/>
        <v>225.29200000000313</v>
      </c>
      <c r="K33" s="2">
        <v>5813</v>
      </c>
      <c r="L33" s="3">
        <f t="shared" si="6"/>
        <v>3.8756580079133518E-2</v>
      </c>
    </row>
    <row r="34" spans="1:12" ht="16.2" customHeight="1" thickBot="1" x14ac:dyDescent="0.3">
      <c r="A34" s="5">
        <v>17</v>
      </c>
      <c r="B34" s="2" t="s">
        <v>76</v>
      </c>
      <c r="C34" s="2" t="s">
        <v>77</v>
      </c>
      <c r="D34" s="2" t="str">
        <f t="shared" si="0"/>
        <v>1192.01</v>
      </c>
      <c r="E34" s="2" t="str">
        <f t="shared" si="1"/>
        <v>1291.20</v>
      </c>
      <c r="F34" s="2" t="str">
        <f t="shared" si="2"/>
        <v>1186.25</v>
      </c>
      <c r="G34" s="2" t="str">
        <f t="shared" si="3"/>
        <v>1293.35</v>
      </c>
      <c r="H34" s="2">
        <f t="shared" si="4"/>
        <v>5.7599999999999909</v>
      </c>
      <c r="I34" s="2">
        <f t="shared" si="4"/>
        <v>2.1499999999998636</v>
      </c>
      <c r="J34" s="2">
        <f t="shared" si="5"/>
        <v>12.383999999999194</v>
      </c>
      <c r="K34" s="2">
        <v>5886</v>
      </c>
      <c r="L34" s="3">
        <f t="shared" si="6"/>
        <v>2.1039755351680589E-3</v>
      </c>
    </row>
    <row r="35" spans="1:12" ht="16.2" customHeight="1" thickBot="1" x14ac:dyDescent="0.3">
      <c r="A35" s="4"/>
      <c r="B35" s="2" t="s">
        <v>78</v>
      </c>
      <c r="C35" s="2" t="s">
        <v>79</v>
      </c>
      <c r="D35" s="2" t="str">
        <f t="shared" si="0"/>
        <v>1051.82</v>
      </c>
      <c r="E35" s="2" t="str">
        <f t="shared" si="1"/>
        <v>1202.57</v>
      </c>
      <c r="F35" s="2" t="str">
        <f t="shared" si="2"/>
        <v>1058.79</v>
      </c>
      <c r="G35" s="2" t="str">
        <f t="shared" si="3"/>
        <v>1212.46</v>
      </c>
      <c r="H35" s="2">
        <f t="shared" si="4"/>
        <v>6.9700000000000273</v>
      </c>
      <c r="I35" s="2">
        <f t="shared" si="4"/>
        <v>9.8900000000001</v>
      </c>
      <c r="J35" s="2">
        <f t="shared" si="5"/>
        <v>68.933300000000969</v>
      </c>
      <c r="K35" s="2">
        <v>5610</v>
      </c>
      <c r="L35" s="3">
        <f t="shared" si="6"/>
        <v>1.2287575757575931E-2</v>
      </c>
    </row>
    <row r="36" spans="1:12" ht="16.2" customHeight="1" thickBot="1" x14ac:dyDescent="0.3">
      <c r="A36" s="5">
        <v>18</v>
      </c>
      <c r="B36" s="2" t="s">
        <v>80</v>
      </c>
      <c r="C36" s="2" t="s">
        <v>81</v>
      </c>
      <c r="D36" s="2" t="str">
        <f t="shared" si="0"/>
        <v>1649.77</v>
      </c>
      <c r="E36" s="2" t="str">
        <f t="shared" si="1"/>
        <v>935.38</v>
      </c>
      <c r="F36" s="2" t="str">
        <f t="shared" si="2"/>
        <v>1650.91</v>
      </c>
      <c r="G36" s="2" t="str">
        <f t="shared" si="3"/>
        <v>949.65</v>
      </c>
      <c r="H36" s="2">
        <f t="shared" si="4"/>
        <v>1.1400000000001</v>
      </c>
      <c r="I36" s="2">
        <f t="shared" si="4"/>
        <v>14.269999999999982</v>
      </c>
      <c r="J36" s="2">
        <f t="shared" si="5"/>
        <v>16.267800000001408</v>
      </c>
      <c r="K36" s="2">
        <v>5992</v>
      </c>
      <c r="L36" s="3">
        <f t="shared" si="6"/>
        <v>2.7149198931911561E-3</v>
      </c>
    </row>
    <row r="37" spans="1:12" ht="16.2" customHeight="1" thickBot="1" x14ac:dyDescent="0.3">
      <c r="A37" s="4"/>
      <c r="B37" s="2" t="s">
        <v>82</v>
      </c>
      <c r="C37" s="2" t="s">
        <v>83</v>
      </c>
      <c r="D37" s="2" t="str">
        <f t="shared" si="0"/>
        <v>1564.11</v>
      </c>
      <c r="E37" s="2" t="str">
        <f t="shared" si="1"/>
        <v>1079.81</v>
      </c>
      <c r="F37" s="2" t="str">
        <f t="shared" si="2"/>
        <v>1571.28</v>
      </c>
      <c r="G37" s="2" t="str">
        <f t="shared" si="3"/>
        <v>1082.57</v>
      </c>
      <c r="H37" s="2">
        <f t="shared" si="4"/>
        <v>7.1700000000000728</v>
      </c>
      <c r="I37" s="2">
        <f t="shared" si="4"/>
        <v>2.7599999999999909</v>
      </c>
      <c r="J37" s="2">
        <f t="shared" si="5"/>
        <v>19.789200000000136</v>
      </c>
      <c r="K37" s="2">
        <v>6191</v>
      </c>
      <c r="L37" s="3">
        <f t="shared" si="6"/>
        <v>3.1964464545307923E-3</v>
      </c>
    </row>
    <row r="38" spans="1:12" ht="16.2" customHeight="1" thickBot="1" x14ac:dyDescent="0.3">
      <c r="A38" s="5">
        <v>19</v>
      </c>
      <c r="B38" s="2" t="s">
        <v>84</v>
      </c>
      <c r="C38" s="2" t="s">
        <v>85</v>
      </c>
      <c r="D38" s="2" t="str">
        <f t="shared" si="0"/>
        <v>1139.68</v>
      </c>
      <c r="E38" s="2" t="str">
        <f t="shared" si="1"/>
        <v>962.53</v>
      </c>
      <c r="F38" s="2" t="str">
        <f t="shared" si="2"/>
        <v>1148.53</v>
      </c>
      <c r="G38" s="2" t="str">
        <f t="shared" si="3"/>
        <v>938.90</v>
      </c>
      <c r="H38" s="2">
        <f t="shared" si="4"/>
        <v>8.8499999999999091</v>
      </c>
      <c r="I38" s="2">
        <f t="shared" si="4"/>
        <v>23.629999999999995</v>
      </c>
      <c r="J38" s="2">
        <f t="shared" si="5"/>
        <v>209.1254999999978</v>
      </c>
      <c r="K38" s="2">
        <v>6929</v>
      </c>
      <c r="L38" s="3">
        <f t="shared" si="6"/>
        <v>3.0181194977629933E-2</v>
      </c>
    </row>
    <row r="39" spans="1:12" ht="16.2" customHeight="1" thickBot="1" x14ac:dyDescent="0.3">
      <c r="A39" s="4"/>
      <c r="B39" s="2" t="s">
        <v>86</v>
      </c>
      <c r="C39" s="2" t="s">
        <v>87</v>
      </c>
      <c r="D39" s="2" t="str">
        <f t="shared" si="0"/>
        <v>1278.87</v>
      </c>
      <c r="E39" s="2" t="str">
        <f t="shared" si="1"/>
        <v>871.03</v>
      </c>
      <c r="F39" s="2" t="str">
        <f t="shared" si="2"/>
        <v>1255.62</v>
      </c>
      <c r="G39" s="2" t="str">
        <f t="shared" si="3"/>
        <v>866.36</v>
      </c>
      <c r="H39" s="2">
        <f t="shared" si="4"/>
        <v>23.25</v>
      </c>
      <c r="I39" s="2">
        <f t="shared" si="4"/>
        <v>4.6699999999999591</v>
      </c>
      <c r="J39" s="2">
        <f t="shared" si="5"/>
        <v>108.57749999999905</v>
      </c>
      <c r="K39" s="2">
        <v>7133</v>
      </c>
      <c r="L39" s="3">
        <f t="shared" si="6"/>
        <v>1.5221856161502741E-2</v>
      </c>
    </row>
    <row r="40" spans="1:12" ht="16.2" customHeight="1" thickBot="1" x14ac:dyDescent="0.3">
      <c r="A40" s="5">
        <v>20</v>
      </c>
      <c r="B40" s="2" t="s">
        <v>88</v>
      </c>
      <c r="C40" s="2" t="s">
        <v>89</v>
      </c>
      <c r="D40" s="2" t="str">
        <f t="shared" si="0"/>
        <v>1412.07</v>
      </c>
      <c r="E40" s="2" t="str">
        <f t="shared" si="1"/>
        <v xml:space="preserve"> 614.32</v>
      </c>
      <c r="F40" s="2" t="str">
        <f t="shared" si="2"/>
        <v>1419.93</v>
      </c>
      <c r="G40" s="2" t="str">
        <f t="shared" si="3"/>
        <v>613.85</v>
      </c>
      <c r="H40" s="2">
        <f t="shared" si="4"/>
        <v>7.8600000000001273</v>
      </c>
      <c r="I40" s="2">
        <f t="shared" si="4"/>
        <v>0.47000000000002728</v>
      </c>
      <c r="J40" s="2">
        <f t="shared" si="5"/>
        <v>3.6942000000002744</v>
      </c>
      <c r="K40" s="2">
        <v>5799</v>
      </c>
      <c r="L40" s="3">
        <f t="shared" si="6"/>
        <v>6.3704086911541208E-4</v>
      </c>
    </row>
    <row r="41" spans="1:12" ht="16.2" customHeight="1" thickBot="1" x14ac:dyDescent="0.3">
      <c r="A41" s="4"/>
      <c r="B41" s="2" t="s">
        <v>90</v>
      </c>
      <c r="C41" s="2" t="s">
        <v>91</v>
      </c>
      <c r="D41" s="2" t="str">
        <f t="shared" si="0"/>
        <v>1563.46</v>
      </c>
      <c r="E41" s="2" t="str">
        <f t="shared" si="1"/>
        <v>686.89</v>
      </c>
      <c r="F41" s="2" t="str">
        <f t="shared" si="2"/>
        <v>1560.08</v>
      </c>
      <c r="G41" s="2" t="str">
        <f t="shared" si="3"/>
        <v>682.10</v>
      </c>
      <c r="H41" s="2">
        <f t="shared" si="4"/>
        <v>3.3800000000001091</v>
      </c>
      <c r="I41" s="2">
        <f t="shared" si="4"/>
        <v>4.7899999999999636</v>
      </c>
      <c r="J41" s="2">
        <f t="shared" si="5"/>
        <v>16.190200000000399</v>
      </c>
      <c r="K41" s="2">
        <v>5537</v>
      </c>
      <c r="L41" s="3">
        <f t="shared" si="6"/>
        <v>2.9240021672386489E-3</v>
      </c>
    </row>
    <row r="42" spans="1:12" ht="16.2" customHeight="1" thickBot="1" x14ac:dyDescent="0.3">
      <c r="A42" s="5">
        <v>21</v>
      </c>
      <c r="B42" s="2" t="s">
        <v>92</v>
      </c>
      <c r="C42" s="2" t="s">
        <v>93</v>
      </c>
      <c r="D42" s="2" t="str">
        <f t="shared" si="0"/>
        <v>1138.98</v>
      </c>
      <c r="E42" s="2" t="str">
        <f t="shared" si="1"/>
        <v>1700.00</v>
      </c>
      <c r="F42" s="2" t="str">
        <f t="shared" si="2"/>
        <v>1133.28</v>
      </c>
      <c r="G42" s="2" t="str">
        <f t="shared" si="3"/>
        <v>1714.09</v>
      </c>
      <c r="H42" s="2">
        <f t="shared" si="4"/>
        <v>5.7000000000000455</v>
      </c>
      <c r="I42" s="2">
        <f t="shared" si="4"/>
        <v>14.089999999999918</v>
      </c>
      <c r="J42" s="2">
        <f t="shared" si="5"/>
        <v>80.313000000000173</v>
      </c>
      <c r="K42" s="2">
        <v>5999</v>
      </c>
      <c r="L42" s="3">
        <f t="shared" si="6"/>
        <v>1.3387731288548119E-2</v>
      </c>
    </row>
    <row r="43" spans="1:12" ht="16.2" customHeight="1" thickBot="1" x14ac:dyDescent="0.3">
      <c r="A43" s="4"/>
      <c r="B43" s="2" t="s">
        <v>94</v>
      </c>
      <c r="C43" s="2" t="s">
        <v>95</v>
      </c>
      <c r="D43" s="2" t="str">
        <f t="shared" si="0"/>
        <v>977.53</v>
      </c>
      <c r="E43" s="2" t="str">
        <f t="shared" si="1"/>
        <v>1763.22</v>
      </c>
      <c r="F43" s="2" t="str">
        <f t="shared" si="2"/>
        <v>994.28</v>
      </c>
      <c r="G43" s="2" t="str">
        <f t="shared" si="3"/>
        <v>1768.24</v>
      </c>
      <c r="H43" s="2">
        <f t="shared" si="4"/>
        <v>16.75</v>
      </c>
      <c r="I43" s="2">
        <f t="shared" si="4"/>
        <v>5.0199999999999818</v>
      </c>
      <c r="J43" s="2">
        <f t="shared" si="5"/>
        <v>84.084999999999695</v>
      </c>
      <c r="K43" s="2">
        <v>5995</v>
      </c>
      <c r="L43" s="3">
        <f t="shared" si="6"/>
        <v>1.4025854879065838E-2</v>
      </c>
    </row>
    <row r="44" spans="1:12" ht="16.2" customHeight="1" thickBot="1" x14ac:dyDescent="0.3">
      <c r="A44" s="5">
        <v>22</v>
      </c>
      <c r="B44" s="2" t="s">
        <v>96</v>
      </c>
      <c r="C44" s="2" t="s">
        <v>97</v>
      </c>
      <c r="D44" s="2" t="str">
        <f t="shared" si="0"/>
        <v>1490.41</v>
      </c>
      <c r="E44" s="2" t="str">
        <f t="shared" si="1"/>
        <v>1915.92</v>
      </c>
      <c r="F44" s="2" t="str">
        <f t="shared" si="2"/>
        <v>1486.79</v>
      </c>
      <c r="G44" s="2" t="str">
        <f t="shared" si="3"/>
        <v>1885.44</v>
      </c>
      <c r="H44" s="2">
        <f t="shared" si="4"/>
        <v>3.6200000000001182</v>
      </c>
      <c r="I44" s="2">
        <f t="shared" si="4"/>
        <v>30.480000000000018</v>
      </c>
      <c r="J44" s="2">
        <f t="shared" si="5"/>
        <v>110.33760000000368</v>
      </c>
      <c r="K44" s="2">
        <v>7149</v>
      </c>
      <c r="L44" s="3">
        <f t="shared" si="6"/>
        <v>1.5433990767940086E-2</v>
      </c>
    </row>
    <row r="45" spans="1:12" ht="16.2" customHeight="1" thickBot="1" x14ac:dyDescent="0.3">
      <c r="A45" s="4"/>
      <c r="B45" s="2" t="s">
        <v>98</v>
      </c>
      <c r="C45" s="2" t="s">
        <v>99</v>
      </c>
      <c r="D45" s="2" t="str">
        <f t="shared" si="0"/>
        <v>1517.86</v>
      </c>
      <c r="E45" s="2" t="str">
        <f t="shared" si="1"/>
        <v>1775.65</v>
      </c>
      <c r="F45" s="2" t="str">
        <f t="shared" si="2"/>
        <v>1551.95</v>
      </c>
      <c r="G45" s="2" t="str">
        <f t="shared" si="3"/>
        <v>1776.78</v>
      </c>
      <c r="H45" s="2">
        <f t="shared" si="4"/>
        <v>34.090000000000146</v>
      </c>
      <c r="I45" s="2">
        <f t="shared" si="4"/>
        <v>1.1299999999998818</v>
      </c>
      <c r="J45" s="2">
        <f t="shared" si="5"/>
        <v>38.521699999996137</v>
      </c>
      <c r="K45" s="2">
        <v>7198</v>
      </c>
      <c r="L45" s="3">
        <f t="shared" si="6"/>
        <v>5.3517227007496716E-3</v>
      </c>
    </row>
    <row r="46" spans="1:12" ht="16.2" customHeight="1" thickBot="1" x14ac:dyDescent="0.3">
      <c r="A46" s="5">
        <v>23</v>
      </c>
      <c r="B46" s="2" t="s">
        <v>100</v>
      </c>
      <c r="C46" s="2" t="s">
        <v>101</v>
      </c>
      <c r="D46" s="2" t="str">
        <f t="shared" si="0"/>
        <v>1935.59</v>
      </c>
      <c r="E46" s="2" t="str">
        <f t="shared" si="1"/>
        <v>1666.46</v>
      </c>
      <c r="F46" s="2" t="str">
        <f t="shared" si="2"/>
        <v>1924.40</v>
      </c>
      <c r="G46" s="2" t="str">
        <f t="shared" si="3"/>
        <v>1662.58</v>
      </c>
      <c r="H46" s="2">
        <f t="shared" si="4"/>
        <v>11.189999999999827</v>
      </c>
      <c r="I46" s="2">
        <f t="shared" si="4"/>
        <v>3.8800000000001091</v>
      </c>
      <c r="J46" s="2">
        <f t="shared" si="5"/>
        <v>43.417200000000548</v>
      </c>
      <c r="K46" s="2">
        <v>5384</v>
      </c>
      <c r="L46" s="3">
        <f t="shared" si="6"/>
        <v>8.064115898959983E-3</v>
      </c>
    </row>
    <row r="47" spans="1:12" ht="16.2" customHeight="1" thickBot="1" x14ac:dyDescent="0.3">
      <c r="A47" s="4"/>
      <c r="B47" s="2" t="s">
        <v>102</v>
      </c>
      <c r="C47" s="2" t="s">
        <v>103</v>
      </c>
      <c r="D47" s="2" t="str">
        <f t="shared" si="0"/>
        <v>1797.24</v>
      </c>
      <c r="E47" s="2" t="str">
        <f t="shared" si="1"/>
        <v>1570.93</v>
      </c>
      <c r="F47" s="2" t="str">
        <f t="shared" si="2"/>
        <v>1798.60</v>
      </c>
      <c r="G47" s="2" t="str">
        <f t="shared" si="3"/>
        <v>1574.53</v>
      </c>
      <c r="H47" s="2">
        <f t="shared" si="4"/>
        <v>1.3599999999999</v>
      </c>
      <c r="I47" s="2">
        <f t="shared" si="4"/>
        <v>3.5999999999999091</v>
      </c>
      <c r="J47" s="2">
        <f t="shared" si="5"/>
        <v>4.8959999999995159</v>
      </c>
      <c r="K47" s="2">
        <v>5506</v>
      </c>
      <c r="L47" s="3">
        <f t="shared" si="6"/>
        <v>8.8921176897920735E-4</v>
      </c>
    </row>
    <row r="48" spans="1:12" ht="16.2" customHeight="1" thickBot="1" x14ac:dyDescent="0.3">
      <c r="A48" s="5">
        <v>24</v>
      </c>
      <c r="B48" s="2" t="s">
        <v>104</v>
      </c>
      <c r="C48" s="2" t="s">
        <v>105</v>
      </c>
      <c r="D48" s="2" t="str">
        <f t="shared" si="0"/>
        <v>707.26</v>
      </c>
      <c r="E48" s="2" t="str">
        <f t="shared" si="1"/>
        <v>1480.13</v>
      </c>
      <c r="F48" s="2" t="str">
        <f t="shared" si="2"/>
        <v>737.70</v>
      </c>
      <c r="G48" s="2" t="str">
        <f t="shared" si="3"/>
        <v>1491.11</v>
      </c>
      <c r="H48" s="2">
        <f t="shared" si="4"/>
        <v>30.440000000000055</v>
      </c>
      <c r="I48" s="2">
        <f t="shared" si="4"/>
        <v>10.979999999999791</v>
      </c>
      <c r="J48" s="2">
        <f t="shared" si="5"/>
        <v>334.23119999999426</v>
      </c>
      <c r="K48" s="2">
        <v>6768</v>
      </c>
      <c r="L48" s="3">
        <f t="shared" si="6"/>
        <v>4.9384042553190642E-2</v>
      </c>
    </row>
    <row r="49" spans="1:12" ht="16.2" customHeight="1" thickBot="1" x14ac:dyDescent="0.3">
      <c r="A49" s="4"/>
      <c r="B49" s="2" t="s">
        <v>106</v>
      </c>
      <c r="C49" s="2" t="s">
        <v>107</v>
      </c>
      <c r="D49" s="2" t="str">
        <f t="shared" si="0"/>
        <v>795.82</v>
      </c>
      <c r="E49" s="2" t="str">
        <f t="shared" si="1"/>
        <v>1618.09</v>
      </c>
      <c r="F49" s="2" t="str">
        <f t="shared" si="2"/>
        <v>804.71</v>
      </c>
      <c r="G49" s="2" t="str">
        <f t="shared" si="3"/>
        <v>1597.99</v>
      </c>
      <c r="H49" s="2">
        <f t="shared" si="4"/>
        <v>8.8899999999999864</v>
      </c>
      <c r="I49" s="2">
        <f t="shared" si="4"/>
        <v>20.099999999999909</v>
      </c>
      <c r="J49" s="2">
        <f t="shared" si="5"/>
        <v>178.68899999999891</v>
      </c>
      <c r="K49" s="2">
        <v>6619</v>
      </c>
      <c r="L49" s="3">
        <f t="shared" si="6"/>
        <v>2.6996374074633466E-2</v>
      </c>
    </row>
    <row r="50" spans="1:12" ht="16.2" customHeight="1" thickBot="1" x14ac:dyDescent="0.3">
      <c r="A50" s="5">
        <v>25</v>
      </c>
      <c r="B50" s="2" t="s">
        <v>108</v>
      </c>
      <c r="C50" s="2" t="s">
        <v>109</v>
      </c>
      <c r="D50" s="2" t="str">
        <f t="shared" si="0"/>
        <v>1566.51</v>
      </c>
      <c r="E50" s="2" t="str">
        <f t="shared" si="1"/>
        <v>1350.47</v>
      </c>
      <c r="F50" s="2" t="str">
        <f t="shared" si="2"/>
        <v>1562.28</v>
      </c>
      <c r="G50" s="2" t="str">
        <f t="shared" si="3"/>
        <v>1355.12</v>
      </c>
      <c r="H50" s="2">
        <f t="shared" si="4"/>
        <v>4.2300000000000182</v>
      </c>
      <c r="I50" s="2">
        <f t="shared" si="4"/>
        <v>4.6499999999998636</v>
      </c>
      <c r="J50" s="2">
        <f t="shared" si="5"/>
        <v>19.669499999999509</v>
      </c>
      <c r="K50" s="2">
        <v>5926</v>
      </c>
      <c r="L50" s="3">
        <f t="shared" si="6"/>
        <v>3.3191866351669776E-3</v>
      </c>
    </row>
    <row r="51" spans="1:12" ht="16.2" customHeight="1" thickBot="1" x14ac:dyDescent="0.3">
      <c r="A51" s="4"/>
      <c r="B51" s="2" t="s">
        <v>110</v>
      </c>
      <c r="C51" s="2" t="s">
        <v>111</v>
      </c>
      <c r="D51" s="2" t="str">
        <f t="shared" si="0"/>
        <v>1401.65</v>
      </c>
      <c r="E51" s="2" t="str">
        <f t="shared" si="1"/>
        <v>1327.06</v>
      </c>
      <c r="F51" s="2" t="str">
        <f t="shared" si="2"/>
        <v>1408.14</v>
      </c>
      <c r="G51" s="2" t="str">
        <f t="shared" si="3"/>
        <v>1333.76</v>
      </c>
      <c r="H51" s="2">
        <f t="shared" si="4"/>
        <v>6.4900000000000091</v>
      </c>
      <c r="I51" s="2">
        <f t="shared" si="4"/>
        <v>6.7000000000000455</v>
      </c>
      <c r="J51" s="2">
        <f t="shared" si="5"/>
        <v>43.483000000000359</v>
      </c>
      <c r="K51" s="2">
        <v>5948</v>
      </c>
      <c r="L51" s="3">
        <f t="shared" si="6"/>
        <v>7.3105245460659647E-3</v>
      </c>
    </row>
    <row r="52" spans="1:12" ht="16.2" customHeight="1" thickBot="1" x14ac:dyDescent="0.3">
      <c r="A52" s="5">
        <v>26</v>
      </c>
      <c r="B52" s="2" t="s">
        <v>112</v>
      </c>
      <c r="C52" s="2" t="s">
        <v>113</v>
      </c>
      <c r="D52" s="2" t="str">
        <f t="shared" si="0"/>
        <v>1180.81</v>
      </c>
      <c r="E52" s="2" t="str">
        <f t="shared" si="1"/>
        <v>1434.96</v>
      </c>
      <c r="F52" s="2" t="str">
        <f t="shared" si="2"/>
        <v>1169.68</v>
      </c>
      <c r="G52" s="2" t="str">
        <f t="shared" si="3"/>
        <v>1411.97</v>
      </c>
      <c r="H52" s="2">
        <f t="shared" si="4"/>
        <v>11.129999999999882</v>
      </c>
      <c r="I52" s="2">
        <f t="shared" si="4"/>
        <v>22.990000000000009</v>
      </c>
      <c r="J52" s="2">
        <f t="shared" si="5"/>
        <v>255.87869999999739</v>
      </c>
      <c r="K52" s="2">
        <v>6877</v>
      </c>
      <c r="L52" s="3">
        <f t="shared" si="6"/>
        <v>3.7207895884833121E-2</v>
      </c>
    </row>
    <row r="53" spans="1:12" ht="16.2" customHeight="1" thickBot="1" x14ac:dyDescent="0.3">
      <c r="A53" s="4"/>
      <c r="B53" s="2" t="s">
        <v>114</v>
      </c>
      <c r="C53" s="2" t="s">
        <v>115</v>
      </c>
      <c r="D53" s="2" t="str">
        <f t="shared" si="0"/>
        <v>1212.56</v>
      </c>
      <c r="E53" s="2" t="str">
        <f t="shared" si="1"/>
        <v>1271.91</v>
      </c>
      <c r="F53" s="2" t="str">
        <f t="shared" si="2"/>
        <v>1192.62</v>
      </c>
      <c r="G53" s="2" t="str">
        <f t="shared" si="3"/>
        <v>1284.76</v>
      </c>
      <c r="H53" s="2">
        <f t="shared" si="4"/>
        <v>19.940000000000055</v>
      </c>
      <c r="I53" s="2">
        <f t="shared" si="4"/>
        <v>12.849999999999909</v>
      </c>
      <c r="J53" s="2">
        <f t="shared" si="5"/>
        <v>256.2289999999989</v>
      </c>
      <c r="K53" s="2">
        <v>7220</v>
      </c>
      <c r="L53" s="3">
        <f t="shared" si="6"/>
        <v>3.5488781163434749E-2</v>
      </c>
    </row>
    <row r="54" spans="1:12" ht="16.2" customHeight="1" thickBot="1" x14ac:dyDescent="0.3">
      <c r="A54" s="5">
        <v>27</v>
      </c>
      <c r="B54" s="2" t="s">
        <v>116</v>
      </c>
      <c r="C54" s="2" t="s">
        <v>117</v>
      </c>
      <c r="D54" s="2" t="str">
        <f t="shared" si="0"/>
        <v>1929.56</v>
      </c>
      <c r="E54" s="2" t="str">
        <f t="shared" si="1"/>
        <v>1442.81</v>
      </c>
      <c r="F54" s="2" t="str">
        <f t="shared" si="2"/>
        <v>1927.12</v>
      </c>
      <c r="G54" s="2" t="str">
        <f t="shared" si="3"/>
        <v>1434.84</v>
      </c>
      <c r="H54" s="2">
        <f t="shared" si="4"/>
        <v>2.4400000000000546</v>
      </c>
      <c r="I54" s="2">
        <f t="shared" si="4"/>
        <v>7.9700000000000273</v>
      </c>
      <c r="J54" s="2">
        <f t="shared" si="5"/>
        <v>19.446800000000501</v>
      </c>
      <c r="K54" s="2">
        <v>5050</v>
      </c>
      <c r="L54" s="3">
        <f t="shared" si="6"/>
        <v>3.8508514851486142E-3</v>
      </c>
    </row>
    <row r="55" spans="1:12" ht="16.2" customHeight="1" thickBot="1" x14ac:dyDescent="0.3">
      <c r="A55" s="4"/>
      <c r="B55" s="2" t="s">
        <v>118</v>
      </c>
      <c r="C55" s="2" t="s">
        <v>119</v>
      </c>
      <c r="D55" s="2" t="str">
        <f t="shared" si="0"/>
        <v>2015.50</v>
      </c>
      <c r="E55" s="2" t="str">
        <f t="shared" si="1"/>
        <v>1298.63</v>
      </c>
      <c r="F55" s="2" t="str">
        <f t="shared" si="2"/>
        <v>2004.83</v>
      </c>
      <c r="G55" s="2" t="str">
        <f t="shared" si="3"/>
        <v>1301.76</v>
      </c>
      <c r="H55" s="2">
        <f t="shared" si="4"/>
        <v>10.670000000000073</v>
      </c>
      <c r="I55" s="2">
        <f t="shared" si="4"/>
        <v>3.1299999999998818</v>
      </c>
      <c r="J55" s="2">
        <f t="shared" si="5"/>
        <v>33.397099999998964</v>
      </c>
      <c r="K55" s="2">
        <v>5443</v>
      </c>
      <c r="L55" s="3">
        <f t="shared" si="6"/>
        <v>6.1357890869004157E-3</v>
      </c>
    </row>
    <row r="56" spans="1:12" ht="16.2" customHeight="1" thickBot="1" x14ac:dyDescent="0.3">
      <c r="A56" s="5">
        <v>28</v>
      </c>
      <c r="B56" s="2" t="s">
        <v>120</v>
      </c>
      <c r="C56" s="2" t="s">
        <v>121</v>
      </c>
      <c r="D56" s="2" t="str">
        <f t="shared" si="0"/>
        <v>843.22</v>
      </c>
      <c r="E56" s="2" t="str">
        <f t="shared" si="1"/>
        <v>1004.79</v>
      </c>
      <c r="F56" s="2" t="str">
        <f t="shared" si="2"/>
        <v>835.91</v>
      </c>
      <c r="G56" s="2" t="str">
        <f t="shared" si="3"/>
        <v>1013.66</v>
      </c>
      <c r="H56" s="2">
        <f t="shared" si="4"/>
        <v>7.3100000000000591</v>
      </c>
      <c r="I56" s="2">
        <f t="shared" si="4"/>
        <v>8.8700000000000045</v>
      </c>
      <c r="J56" s="2">
        <f t="shared" si="5"/>
        <v>64.839700000000562</v>
      </c>
      <c r="K56" s="2">
        <v>6202</v>
      </c>
      <c r="L56" s="3">
        <f t="shared" si="6"/>
        <v>1.0454643663334498E-2</v>
      </c>
    </row>
    <row r="57" spans="1:12" ht="16.2" customHeight="1" thickBot="1" x14ac:dyDescent="0.3">
      <c r="A57" s="4"/>
      <c r="B57" s="2" t="s">
        <v>122</v>
      </c>
      <c r="C57" s="2" t="s">
        <v>123</v>
      </c>
      <c r="D57" s="2" t="str">
        <f t="shared" si="0"/>
        <v>667.05</v>
      </c>
      <c r="E57" s="2" t="str">
        <f t="shared" si="1"/>
        <v>1012.88</v>
      </c>
      <c r="F57" s="2" t="str">
        <f t="shared" si="2"/>
        <v>689.22</v>
      </c>
      <c r="G57" s="2" t="str">
        <f t="shared" si="3"/>
        <v>1019.75</v>
      </c>
      <c r="H57" s="2">
        <f t="shared" si="4"/>
        <v>22.170000000000073</v>
      </c>
      <c r="I57" s="2">
        <f t="shared" si="4"/>
        <v>6.8700000000000045</v>
      </c>
      <c r="J57" s="2">
        <f t="shared" si="5"/>
        <v>152.30790000000061</v>
      </c>
      <c r="K57" s="2">
        <v>5818</v>
      </c>
      <c r="L57" s="3">
        <f t="shared" si="6"/>
        <v>2.6178738398075045E-2</v>
      </c>
    </row>
    <row r="58" spans="1:12" ht="16.2" customHeight="1" thickBot="1" x14ac:dyDescent="0.3">
      <c r="A58" s="5">
        <v>29</v>
      </c>
      <c r="B58" s="2" t="s">
        <v>124</v>
      </c>
      <c r="C58" s="2" t="s">
        <v>125</v>
      </c>
      <c r="D58" s="2" t="str">
        <f t="shared" si="0"/>
        <v>1763.63</v>
      </c>
      <c r="E58" s="2" t="str">
        <f t="shared" si="1"/>
        <v>1170.98</v>
      </c>
      <c r="F58" s="2" t="str">
        <f t="shared" si="2"/>
        <v>1760.83</v>
      </c>
      <c r="G58" s="2" t="str">
        <f t="shared" si="3"/>
        <v>1170.06</v>
      </c>
      <c r="H58" s="2">
        <f t="shared" si="4"/>
        <v>2.8000000000001819</v>
      </c>
      <c r="I58" s="2">
        <f t="shared" si="4"/>
        <v>0.92000000000007276</v>
      </c>
      <c r="J58" s="2">
        <f t="shared" si="5"/>
        <v>2.5760000000003709</v>
      </c>
      <c r="K58" s="2">
        <v>5381</v>
      </c>
      <c r="L58" s="3">
        <f t="shared" si="6"/>
        <v>4.7872142724407561E-4</v>
      </c>
    </row>
    <row r="59" spans="1:12" ht="16.2" customHeight="1" thickBot="1" x14ac:dyDescent="0.3">
      <c r="A59" s="4"/>
      <c r="B59" s="2" t="s">
        <v>126</v>
      </c>
      <c r="C59" s="2" t="s">
        <v>127</v>
      </c>
      <c r="D59" s="2" t="str">
        <f t="shared" si="0"/>
        <v>1766.59</v>
      </c>
      <c r="E59" s="2" t="str">
        <f t="shared" si="1"/>
        <v>1003.16</v>
      </c>
      <c r="F59" s="2" t="str">
        <f t="shared" si="2"/>
        <v>1764.15</v>
      </c>
      <c r="G59" s="2" t="str">
        <f t="shared" si="3"/>
        <v>1011.38</v>
      </c>
      <c r="H59" s="2">
        <f t="shared" si="4"/>
        <v>2.4399999999998272</v>
      </c>
      <c r="I59" s="2">
        <f t="shared" si="4"/>
        <v>8.2200000000000273</v>
      </c>
      <c r="J59" s="2">
        <f t="shared" si="5"/>
        <v>20.056799999998645</v>
      </c>
      <c r="K59" s="2">
        <v>5589</v>
      </c>
      <c r="L59" s="3">
        <f t="shared" si="6"/>
        <v>3.5886205045622911E-3</v>
      </c>
    </row>
    <row r="60" spans="1:12" ht="16.2" customHeight="1" thickBot="1" x14ac:dyDescent="0.3">
      <c r="A60" s="5">
        <v>30</v>
      </c>
      <c r="B60" s="2" t="s">
        <v>128</v>
      </c>
      <c r="C60" s="2" t="s">
        <v>129</v>
      </c>
      <c r="D60" s="2" t="str">
        <f t="shared" si="0"/>
        <v>1134.02</v>
      </c>
      <c r="E60" s="2" t="str">
        <f t="shared" si="1"/>
        <v xml:space="preserve"> 888.96</v>
      </c>
      <c r="F60" s="2" t="str">
        <f t="shared" si="2"/>
        <v>1141.87</v>
      </c>
      <c r="G60" s="2" t="str">
        <f t="shared" si="3"/>
        <v>894.38</v>
      </c>
      <c r="H60" s="2">
        <f t="shared" si="4"/>
        <v>7.8499999999999091</v>
      </c>
      <c r="I60" s="2">
        <f t="shared" si="4"/>
        <v>5.4199999999999591</v>
      </c>
      <c r="J60" s="2">
        <f t="shared" si="5"/>
        <v>42.546999999999187</v>
      </c>
      <c r="K60" s="2">
        <v>6199</v>
      </c>
      <c r="L60" s="3">
        <f t="shared" si="6"/>
        <v>6.8635263752216793E-3</v>
      </c>
    </row>
    <row r="61" spans="1:12" ht="16.2" customHeight="1" thickBot="1" x14ac:dyDescent="0.3">
      <c r="A61" s="4"/>
      <c r="B61" s="2" t="s">
        <v>130</v>
      </c>
      <c r="C61" s="2" t="s">
        <v>131</v>
      </c>
      <c r="D61" s="2" t="str">
        <f t="shared" si="0"/>
        <v>1130.97</v>
      </c>
      <c r="E61" s="2" t="str">
        <f t="shared" si="1"/>
        <v>1053.80</v>
      </c>
      <c r="F61" s="2" t="str">
        <f t="shared" si="2"/>
        <v>1135.76</v>
      </c>
      <c r="G61" s="2" t="str">
        <f t="shared" si="3"/>
        <v>1044.48</v>
      </c>
      <c r="H61" s="2">
        <f t="shared" si="4"/>
        <v>4.7899999999999636</v>
      </c>
      <c r="I61" s="2">
        <f t="shared" si="4"/>
        <v>9.3199999999999363</v>
      </c>
      <c r="J61" s="2">
        <f t="shared" si="5"/>
        <v>44.642799999999355</v>
      </c>
      <c r="K61" s="2">
        <v>5758</v>
      </c>
      <c r="L61" s="3">
        <f t="shared" si="6"/>
        <v>7.7531781868703294E-3</v>
      </c>
    </row>
    <row r="62" spans="1:12" ht="32.4" customHeight="1" thickBot="1" x14ac:dyDescent="0.3">
      <c r="A62" s="2" t="s">
        <v>132</v>
      </c>
      <c r="B62" s="2" t="s">
        <v>133</v>
      </c>
      <c r="C62" s="2" t="s">
        <v>133</v>
      </c>
      <c r="D62" s="2" t="s">
        <v>133</v>
      </c>
      <c r="E62" s="2" t="s">
        <v>133</v>
      </c>
      <c r="F62" s="2" t="s">
        <v>133</v>
      </c>
      <c r="G62" s="2" t="s">
        <v>133</v>
      </c>
      <c r="H62" s="2" t="s">
        <v>133</v>
      </c>
      <c r="I62" s="2" t="s">
        <v>133</v>
      </c>
      <c r="J62" s="2" t="s">
        <v>133</v>
      </c>
      <c r="K62" s="3" t="s">
        <v>133</v>
      </c>
      <c r="L62" s="3">
        <v>1.47E-2</v>
      </c>
    </row>
  </sheetData>
  <mergeCells count="30">
    <mergeCell ref="A50:A51"/>
    <mergeCell ref="A52:A53"/>
    <mergeCell ref="A54:A55"/>
    <mergeCell ref="A56:A57"/>
    <mergeCell ref="A58:A59"/>
    <mergeCell ref="A60:A61"/>
    <mergeCell ref="A38:A39"/>
    <mergeCell ref="A40:A41"/>
    <mergeCell ref="A42:A43"/>
    <mergeCell ref="A44:A45"/>
    <mergeCell ref="A46:A47"/>
    <mergeCell ref="A48:A49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2026-02-23T03:23:38Z</dcterms:created>
  <dcterms:modified xsi:type="dcterms:W3CDTF">2026-02-23T03:30:29Z</dcterms:modified>
</cp:coreProperties>
</file>